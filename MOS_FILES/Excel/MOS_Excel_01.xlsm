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0.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codeName="ThisWorkbook"/>
  <mc:AlternateContent xmlns:mc="http://schemas.openxmlformats.org/markup-compatibility/2006">
    <mc:Choice Requires="x15">
      <x15ac:absPath xmlns:x15ac="http://schemas.microsoft.com/office/spreadsheetml/2010/11/ac" url="https://iigvietnamedu-my.sharepoint.com/personal/quan_dm_iigvietnam_edu_vn/Documents/02. NGHIÊN CỨU SẢN PHẨM/11. Bài thi VBA/Excel/"/>
    </mc:Choice>
  </mc:AlternateContent>
  <xr:revisionPtr revIDLastSave="4144" documentId="8_{3139F74B-EFE0-460B-B0FE-0FFC0D4B11F3}" xr6:coauthVersionLast="47" xr6:coauthVersionMax="47" xr10:uidLastSave="{ADFCBDA9-14D5-4C26-A81C-CD93897E611D}"/>
  <bookViews>
    <workbookView xWindow="-120" yWindow="-120" windowWidth="24240" windowHeight="13140" tabRatio="823" firstSheet="7" activeTab="7" xr2:uid="{E12747B4-4F92-4BBF-B281-296912E87455}"/>
  </bookViews>
  <sheets>
    <sheet name="Tháng 1" sheetId="11" state="veryHidden" r:id="rId1"/>
    <sheet name="Tháng 2" sheetId="12" state="veryHidden" r:id="rId2"/>
    <sheet name="Tháng 3" sheetId="13" state="veryHidden" r:id="rId3"/>
    <sheet name="Tổng hợp 3 tháng" sheetId="14" state="veryHidden" r:id="rId4"/>
    <sheet name="Setting" sheetId="5" state="veryHidden" r:id="rId5"/>
    <sheet name="Process" sheetId="8" state="veryHidden" r:id="rId6"/>
    <sheet name="Chấm điểm" sheetId="7" state="veryHidden" r:id="rId7"/>
    <sheet name="Start" sheetId="6" r:id="rId8"/>
    <sheet name="Request" sheetId="10" state="veryHidden" r:id="rId9"/>
    <sheet name="P1_backup" sheetId="9" state="veryHidden" r:id="rId10"/>
    <sheet name="P2_backup" sheetId="27" state="veryHidden" r:id="rId11"/>
    <sheet name="P3_backup" sheetId="28" state="veryHidden" r:id="rId12"/>
    <sheet name="P4_backup" sheetId="31" state="veryHidden" r:id="rId13"/>
    <sheet name="P5_backup" sheetId="32" state="veryHidden" r:id="rId14"/>
    <sheet name="P6_backup" sheetId="33" state="veryHidden" r:id="rId15"/>
    <sheet name="Đề bài" sheetId="35" state="veryHidden" r:id="rId16"/>
  </sheets>
  <functionGroups builtInGroupCount="19"/>
  <definedNames>
    <definedName name="_xleta.IFERROR" hidden="1" xlm="1">#NAME?</definedName>
    <definedName name="_xleta.RAND" hidden="1" xlm="1">#NAME?</definedName>
    <definedName name="Ngay_CapNhat" localSheetId="2">'Tháng 3'!$A$11:$B$11</definedName>
    <definedName name="_xlnm.Print_Area" localSheetId="6">'Chấm điểm'!$B$1:$G$13</definedName>
    <definedName name="_xlnm.Print_Area" localSheetId="1">#REF!</definedName>
    <definedName name="Thue_Suat">P6_backup!$B$23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H93" i="8" l="1"/>
  <c r="AB28" i="8"/>
  <c r="AB29" i="8"/>
  <c r="AD27" i="8"/>
  <c r="AC27" i="8"/>
  <c r="K1" i="5"/>
  <c r="L1" i="5"/>
  <c r="M1" i="5"/>
  <c r="N1" i="5"/>
  <c r="O1" i="5"/>
  <c r="J1" i="5"/>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38" i="8"/>
  <c r="E4" i="35"/>
  <c r="D4" i="8" a="1"/>
  <c r="D4" i="8" s="1"/>
  <c r="AD3" i="5"/>
  <c r="AD4" i="5"/>
  <c r="AD5" i="5"/>
  <c r="AD6" i="5"/>
  <c r="AD7" i="5"/>
  <c r="AD8" i="5"/>
  <c r="AD9" i="5"/>
  <c r="AD10" i="5"/>
  <c r="AD11" i="5"/>
  <c r="AD12" i="5"/>
  <c r="AD13" i="5"/>
  <c r="AD14" i="5"/>
  <c r="AD15" i="5"/>
  <c r="AD16" i="5"/>
  <c r="AD17" i="5"/>
  <c r="AD18" i="5"/>
  <c r="AD19" i="5"/>
  <c r="AD20" i="5"/>
  <c r="AD21" i="5"/>
  <c r="AD22" i="5"/>
  <c r="AD23" i="5"/>
  <c r="AD24" i="5"/>
  <c r="AD25" i="5"/>
  <c r="AD26" i="5"/>
  <c r="AD27" i="5"/>
  <c r="AD28" i="5"/>
  <c r="AD29" i="5"/>
  <c r="AD30" i="5"/>
  <c r="AD31" i="5"/>
  <c r="AD32" i="5"/>
  <c r="AD33" i="5"/>
  <c r="AD34" i="5"/>
  <c r="AD35" i="5"/>
  <c r="AD36" i="5"/>
  <c r="AD37" i="5"/>
  <c r="AD38" i="5"/>
  <c r="AD39" i="5"/>
  <c r="AD40" i="5"/>
  <c r="AD41" i="5"/>
  <c r="AD42" i="5"/>
  <c r="AD43" i="5"/>
  <c r="AD44" i="5"/>
  <c r="AD45" i="5"/>
  <c r="AD46" i="5"/>
  <c r="AD47" i="5"/>
  <c r="AD48" i="5"/>
  <c r="AD49" i="5"/>
  <c r="AD50" i="5"/>
  <c r="AD51" i="5"/>
  <c r="AD2" i="5"/>
  <c r="H7" i="33"/>
  <c r="M8" i="33"/>
  <c r="M9" i="33"/>
  <c r="M10" i="33"/>
  <c r="M7" i="33"/>
  <c r="AE27" i="8" l="1"/>
  <c r="AE24" i="8" s="1"/>
  <c r="F8" i="32"/>
  <c r="C14" i="7"/>
  <c r="C15" i="7"/>
  <c r="C16" i="7"/>
  <c r="C17" i="7"/>
  <c r="C18" i="7"/>
  <c r="C13" i="7"/>
  <c r="R12" i="8"/>
  <c r="Q1" i="5"/>
  <c r="R21" i="8" l="1"/>
  <c r="R22" i="8"/>
  <c r="R23" i="8"/>
  <c r="R24" i="8"/>
  <c r="R25" i="8"/>
  <c r="R26" i="8"/>
  <c r="R27" i="8"/>
  <c r="R28" i="8"/>
  <c r="R29" i="8"/>
  <c r="R30" i="8"/>
  <c r="R31" i="8"/>
  <c r="R20" i="8"/>
  <c r="H85" i="8"/>
  <c r="G86" i="8"/>
  <c r="G87" i="8"/>
  <c r="G88" i="8"/>
  <c r="G89" i="8"/>
  <c r="G90" i="8"/>
  <c r="G91" i="8"/>
  <c r="G92" i="8"/>
  <c r="G93" i="8"/>
  <c r="G94" i="8"/>
  <c r="G85" i="8"/>
  <c r="G74" i="8"/>
  <c r="G75" i="8"/>
  <c r="G76" i="8"/>
  <c r="G77" i="8"/>
  <c r="G78" i="8"/>
  <c r="G79" i="8"/>
  <c r="G73" i="8"/>
  <c r="G6" i="8"/>
  <c r="BH23" i="8"/>
  <c r="O13" i="5" l="1"/>
  <c r="CB48" i="8"/>
  <c r="CB29" i="8"/>
  <c r="CC29" i="8"/>
  <c r="CB30" i="8"/>
  <c r="CC30" i="8"/>
  <c r="CB31" i="8"/>
  <c r="CC31" i="8"/>
  <c r="CB32" i="8"/>
  <c r="CC32" i="8"/>
  <c r="CB33" i="8"/>
  <c r="CC33" i="8"/>
  <c r="CB34" i="8"/>
  <c r="CC34" i="8"/>
  <c r="CB35" i="8"/>
  <c r="CC35" i="8"/>
  <c r="CB36" i="8"/>
  <c r="CC36" i="8"/>
  <c r="CB37" i="8"/>
  <c r="CC37" i="8"/>
  <c r="CB38" i="8"/>
  <c r="CC38" i="8"/>
  <c r="CB39" i="8"/>
  <c r="CC39" i="8"/>
  <c r="CB40" i="8"/>
  <c r="CC40" i="8"/>
  <c r="CB41" i="8"/>
  <c r="CC41" i="8"/>
  <c r="CB42" i="8"/>
  <c r="CC42" i="8"/>
  <c r="CC28" i="8"/>
  <c r="CB28" i="8"/>
  <c r="CB21" i="8"/>
  <c r="CB13" i="8"/>
  <c r="CB14" i="8"/>
  <c r="CB12" i="8"/>
  <c r="CB5" i="8"/>
  <c r="CB6" i="8"/>
  <c r="CB4" i="8"/>
  <c r="BH112" i="8"/>
  <c r="BH111" i="8"/>
  <c r="BH110" i="8"/>
  <c r="BH109" i="8"/>
  <c r="BH99" i="8"/>
  <c r="BH100" i="8"/>
  <c r="BH101" i="8"/>
  <c r="BH102" i="8"/>
  <c r="BH103" i="8"/>
  <c r="BI93" i="8"/>
  <c r="BI29" i="8"/>
  <c r="BJ29" i="8"/>
  <c r="BK29" i="8"/>
  <c r="BL29" i="8"/>
  <c r="BI30" i="8"/>
  <c r="BJ30" i="8"/>
  <c r="BK30" i="8"/>
  <c r="BL30" i="8"/>
  <c r="BI31" i="8"/>
  <c r="BJ31" i="8"/>
  <c r="BK31" i="8"/>
  <c r="BL31" i="8"/>
  <c r="BI32" i="8"/>
  <c r="BJ32" i="8"/>
  <c r="BK32" i="8"/>
  <c r="BL32" i="8"/>
  <c r="BI33" i="8"/>
  <c r="BJ33" i="8"/>
  <c r="BK33" i="8"/>
  <c r="BL33" i="8"/>
  <c r="BI34" i="8"/>
  <c r="BJ34" i="8"/>
  <c r="BK34" i="8"/>
  <c r="BL34" i="8"/>
  <c r="BI35" i="8"/>
  <c r="BJ35" i="8"/>
  <c r="BK35" i="8"/>
  <c r="BL35" i="8"/>
  <c r="BI36" i="8"/>
  <c r="BJ36" i="8"/>
  <c r="BK36" i="8"/>
  <c r="BL36" i="8"/>
  <c r="BI37" i="8"/>
  <c r="BJ37" i="8"/>
  <c r="BK37" i="8"/>
  <c r="BL37" i="8"/>
  <c r="BI38" i="8"/>
  <c r="BJ38" i="8"/>
  <c r="BK38" i="8"/>
  <c r="BL38" i="8"/>
  <c r="BI39" i="8"/>
  <c r="BJ39" i="8"/>
  <c r="BK39" i="8"/>
  <c r="BL39" i="8"/>
  <c r="BI40" i="8"/>
  <c r="BJ40" i="8"/>
  <c r="BK40" i="8"/>
  <c r="BL40" i="8"/>
  <c r="BI41" i="8"/>
  <c r="BJ41" i="8"/>
  <c r="BK41" i="8"/>
  <c r="BL41" i="8"/>
  <c r="BI42" i="8"/>
  <c r="BJ42" i="8"/>
  <c r="BK42" i="8"/>
  <c r="BL42" i="8"/>
  <c r="BI43" i="8"/>
  <c r="BJ43" i="8"/>
  <c r="BK43" i="8"/>
  <c r="BL43" i="8"/>
  <c r="BI44" i="8"/>
  <c r="BJ44" i="8"/>
  <c r="BK44" i="8"/>
  <c r="BL44" i="8"/>
  <c r="BI45" i="8"/>
  <c r="BJ45" i="8"/>
  <c r="BK45" i="8"/>
  <c r="BL45" i="8"/>
  <c r="BI46" i="8"/>
  <c r="BJ46" i="8"/>
  <c r="BK46" i="8"/>
  <c r="BL46" i="8"/>
  <c r="BI47" i="8"/>
  <c r="BJ47" i="8"/>
  <c r="BK47" i="8"/>
  <c r="BL47" i="8"/>
  <c r="BI48" i="8"/>
  <c r="BJ48" i="8"/>
  <c r="BK48" i="8"/>
  <c r="BL48" i="8"/>
  <c r="BI49" i="8"/>
  <c r="BJ49" i="8"/>
  <c r="BK49" i="8"/>
  <c r="BL49" i="8"/>
  <c r="BI50" i="8"/>
  <c r="BJ50" i="8"/>
  <c r="BK50" i="8"/>
  <c r="BL50" i="8"/>
  <c r="BI51" i="8"/>
  <c r="BJ51" i="8"/>
  <c r="BK51" i="8"/>
  <c r="BL51" i="8"/>
  <c r="BI52" i="8"/>
  <c r="BJ52" i="8"/>
  <c r="BK52" i="8"/>
  <c r="BL52" i="8"/>
  <c r="BI53" i="8"/>
  <c r="BJ53" i="8"/>
  <c r="BK53" i="8"/>
  <c r="BL53" i="8"/>
  <c r="BI54" i="8"/>
  <c r="BJ54" i="8"/>
  <c r="BK54" i="8"/>
  <c r="BL54" i="8"/>
  <c r="BI55" i="8"/>
  <c r="BJ55" i="8"/>
  <c r="BK55" i="8"/>
  <c r="BL55" i="8"/>
  <c r="BI56" i="8"/>
  <c r="BJ56" i="8"/>
  <c r="BK56" i="8"/>
  <c r="BL56" i="8"/>
  <c r="BI57" i="8"/>
  <c r="BJ57" i="8"/>
  <c r="BK57" i="8"/>
  <c r="BL57" i="8"/>
  <c r="BI58" i="8"/>
  <c r="BJ58" i="8"/>
  <c r="BK58" i="8"/>
  <c r="BL58" i="8"/>
  <c r="BI59" i="8"/>
  <c r="BJ59" i="8"/>
  <c r="BK59" i="8"/>
  <c r="BL59" i="8"/>
  <c r="BI60" i="8"/>
  <c r="BJ60" i="8"/>
  <c r="BK60" i="8"/>
  <c r="BL60" i="8"/>
  <c r="BI61" i="8"/>
  <c r="BJ61" i="8"/>
  <c r="BK61" i="8"/>
  <c r="BL61" i="8"/>
  <c r="BI62" i="8"/>
  <c r="BJ62" i="8"/>
  <c r="BK62" i="8"/>
  <c r="BL62" i="8"/>
  <c r="BI63" i="8"/>
  <c r="BJ63" i="8"/>
  <c r="BK63" i="8"/>
  <c r="BL63" i="8"/>
  <c r="BI64" i="8"/>
  <c r="BJ64" i="8"/>
  <c r="BK64" i="8"/>
  <c r="BL64" i="8"/>
  <c r="BI65" i="8"/>
  <c r="BJ65" i="8"/>
  <c r="BK65" i="8"/>
  <c r="BL65" i="8"/>
  <c r="BI66" i="8"/>
  <c r="BJ66" i="8"/>
  <c r="BK66" i="8"/>
  <c r="BL66" i="8"/>
  <c r="BI67" i="8"/>
  <c r="BJ67" i="8"/>
  <c r="BK67" i="8"/>
  <c r="BL67" i="8"/>
  <c r="BI68" i="8"/>
  <c r="BJ68" i="8"/>
  <c r="BK68" i="8"/>
  <c r="BL68" i="8"/>
  <c r="BI69" i="8"/>
  <c r="BJ69" i="8"/>
  <c r="BK69" i="8"/>
  <c r="BL69" i="8"/>
  <c r="BI70" i="8"/>
  <c r="BJ70" i="8"/>
  <c r="BK70" i="8"/>
  <c r="BL70" i="8"/>
  <c r="BI71" i="8"/>
  <c r="BJ71" i="8"/>
  <c r="BK71" i="8"/>
  <c r="BL71" i="8"/>
  <c r="BI72" i="8"/>
  <c r="BJ72" i="8"/>
  <c r="BK72" i="8"/>
  <c r="BL72" i="8"/>
  <c r="BI73" i="8"/>
  <c r="BJ73" i="8"/>
  <c r="BK73" i="8"/>
  <c r="BL73" i="8"/>
  <c r="BI74" i="8"/>
  <c r="BJ74" i="8"/>
  <c r="BK74" i="8"/>
  <c r="BL74" i="8"/>
  <c r="BI75" i="8"/>
  <c r="BJ75" i="8"/>
  <c r="BK75" i="8"/>
  <c r="BL75" i="8"/>
  <c r="BI76" i="8"/>
  <c r="BJ76" i="8"/>
  <c r="BK76" i="8"/>
  <c r="BL76" i="8"/>
  <c r="BI77" i="8"/>
  <c r="BJ77" i="8"/>
  <c r="BK77" i="8"/>
  <c r="BL77" i="8"/>
  <c r="BI78" i="8"/>
  <c r="BJ78" i="8"/>
  <c r="BK78" i="8"/>
  <c r="BL78" i="8"/>
  <c r="BI79" i="8"/>
  <c r="BJ79" i="8"/>
  <c r="BK79" i="8"/>
  <c r="BL79" i="8"/>
  <c r="BI80" i="8"/>
  <c r="BJ80" i="8"/>
  <c r="BK80" i="8"/>
  <c r="BL80" i="8"/>
  <c r="BI81" i="8"/>
  <c r="BJ81" i="8"/>
  <c r="BK81" i="8"/>
  <c r="BL81" i="8"/>
  <c r="BI82" i="8"/>
  <c r="BJ82" i="8"/>
  <c r="BK82" i="8"/>
  <c r="BL82" i="8"/>
  <c r="BI83" i="8"/>
  <c r="BJ83" i="8"/>
  <c r="BK83" i="8"/>
  <c r="BL83" i="8"/>
  <c r="BI84" i="8"/>
  <c r="BJ84" i="8"/>
  <c r="BK84" i="8"/>
  <c r="BL84" i="8"/>
  <c r="BI85" i="8"/>
  <c r="BJ85" i="8"/>
  <c r="BK85" i="8"/>
  <c r="BL85" i="8"/>
  <c r="BI86" i="8"/>
  <c r="BJ86" i="8"/>
  <c r="BK86" i="8"/>
  <c r="BL86" i="8"/>
  <c r="BH30" i="8"/>
  <c r="BH31" i="8"/>
  <c r="BH32" i="8"/>
  <c r="BH33" i="8"/>
  <c r="BH34" i="8"/>
  <c r="BH35" i="8"/>
  <c r="BH36" i="8"/>
  <c r="BH37" i="8"/>
  <c r="BH38" i="8"/>
  <c r="BH39" i="8"/>
  <c r="BH40" i="8"/>
  <c r="BH41" i="8"/>
  <c r="BH42" i="8"/>
  <c r="BH43" i="8"/>
  <c r="BH44" i="8"/>
  <c r="BH45" i="8"/>
  <c r="BH46" i="8"/>
  <c r="BH47" i="8"/>
  <c r="BH48" i="8"/>
  <c r="BH49" i="8"/>
  <c r="BH50" i="8"/>
  <c r="BH51" i="8"/>
  <c r="BH52" i="8"/>
  <c r="BH53" i="8"/>
  <c r="BH54" i="8"/>
  <c r="BH55" i="8"/>
  <c r="BH56" i="8"/>
  <c r="BH57" i="8"/>
  <c r="BH58" i="8"/>
  <c r="BH59" i="8"/>
  <c r="BH60" i="8"/>
  <c r="BH61" i="8"/>
  <c r="BH62" i="8"/>
  <c r="BH63" i="8"/>
  <c r="BH64" i="8"/>
  <c r="BH65" i="8"/>
  <c r="BH66" i="8"/>
  <c r="BH67" i="8"/>
  <c r="BH68" i="8"/>
  <c r="BH69" i="8"/>
  <c r="BH70" i="8"/>
  <c r="BH71" i="8"/>
  <c r="BH72" i="8"/>
  <c r="BH73" i="8"/>
  <c r="BH74" i="8"/>
  <c r="BH75" i="8"/>
  <c r="BH76" i="8"/>
  <c r="BH77" i="8"/>
  <c r="BH78" i="8"/>
  <c r="BH79" i="8"/>
  <c r="BH80" i="8"/>
  <c r="BH81" i="8"/>
  <c r="BH82" i="8"/>
  <c r="BH83" i="8"/>
  <c r="BH84" i="8"/>
  <c r="BH85" i="8"/>
  <c r="BH86" i="8"/>
  <c r="BH29" i="8"/>
  <c r="BL21" i="8"/>
  <c r="BI5" i="8"/>
  <c r="BI6" i="8"/>
  <c r="BI7" i="8"/>
  <c r="BI8" i="8"/>
  <c r="BI9" i="8"/>
  <c r="BI10" i="8"/>
  <c r="BI11" i="8"/>
  <c r="BI12" i="8"/>
  <c r="BI13" i="8"/>
  <c r="BI14" i="8"/>
  <c r="BI15" i="8"/>
  <c r="BI16" i="8"/>
  <c r="BI17" i="8"/>
  <c r="BI18" i="8"/>
  <c r="BH6" i="8"/>
  <c r="BH7" i="8"/>
  <c r="BH8" i="8"/>
  <c r="BH9" i="8"/>
  <c r="BH10" i="8"/>
  <c r="BH11" i="8"/>
  <c r="BH12" i="8"/>
  <c r="BH13" i="8"/>
  <c r="BH14" i="8"/>
  <c r="BH15" i="8"/>
  <c r="BH16" i="8"/>
  <c r="BH17" i="8"/>
  <c r="BH18" i="8"/>
  <c r="BH5" i="8"/>
  <c r="AP62" i="8"/>
  <c r="AS60" i="8" s="1"/>
  <c r="AQ56" i="8"/>
  <c r="AP56" i="8"/>
  <c r="AQ41" i="8"/>
  <c r="AR41" i="8"/>
  <c r="AQ42" i="8"/>
  <c r="AR42" i="8"/>
  <c r="AQ43" i="8"/>
  <c r="AR43" i="8"/>
  <c r="AQ44" i="8"/>
  <c r="AR44" i="8"/>
  <c r="AQ45" i="8"/>
  <c r="AR45" i="8"/>
  <c r="AQ46" i="8"/>
  <c r="AR46" i="8"/>
  <c r="AQ47" i="8"/>
  <c r="AR47" i="8"/>
  <c r="AQ48" i="8"/>
  <c r="AR48" i="8"/>
  <c r="AQ49" i="8"/>
  <c r="AR49" i="8"/>
  <c r="AP42" i="8"/>
  <c r="AP43" i="8"/>
  <c r="AP44" i="8"/>
  <c r="AP45" i="8"/>
  <c r="AP46" i="8"/>
  <c r="AP47" i="8"/>
  <c r="AP48" i="8"/>
  <c r="AP49" i="8"/>
  <c r="AP41" i="8"/>
  <c r="AP38" i="8"/>
  <c r="AQ32" i="8"/>
  <c r="AP32" i="8"/>
  <c r="AI29" i="8"/>
  <c r="AP20" i="8"/>
  <c r="AP21" i="8"/>
  <c r="AP22" i="8"/>
  <c r="AP23" i="8"/>
  <c r="AP24" i="8"/>
  <c r="AP25" i="8"/>
  <c r="AI18" i="8"/>
  <c r="AQ4" i="8"/>
  <c r="AR4" i="8"/>
  <c r="AS4" i="8"/>
  <c r="AQ5" i="8"/>
  <c r="AR5" i="8"/>
  <c r="AS5" i="8"/>
  <c r="AQ6" i="8"/>
  <c r="AR6" i="8"/>
  <c r="AS6" i="8"/>
  <c r="AQ7" i="8"/>
  <c r="AR7" i="8"/>
  <c r="AS7" i="8"/>
  <c r="AQ8" i="8"/>
  <c r="AR8" i="8"/>
  <c r="AS8" i="8"/>
  <c r="AQ9" i="8"/>
  <c r="AR9" i="8"/>
  <c r="AS9" i="8"/>
  <c r="AQ10" i="8"/>
  <c r="AR10" i="8"/>
  <c r="AS10" i="8"/>
  <c r="AQ11" i="8"/>
  <c r="AR11" i="8"/>
  <c r="AS11" i="8"/>
  <c r="AQ12" i="8"/>
  <c r="AR12" i="8"/>
  <c r="AS12" i="8"/>
  <c r="AP5" i="8"/>
  <c r="AP6" i="8"/>
  <c r="AP7" i="8"/>
  <c r="AP8" i="8"/>
  <c r="AP9" i="8"/>
  <c r="AP10" i="8"/>
  <c r="AP11" i="8"/>
  <c r="AP12" i="8"/>
  <c r="AP4" i="8"/>
  <c r="AS14" i="8"/>
  <c r="AI2" i="8"/>
  <c r="AC41" i="8"/>
  <c r="X38" i="8"/>
  <c r="AD41" i="8"/>
  <c r="AC34" i="8"/>
  <c r="AD34" i="8"/>
  <c r="X31" i="8"/>
  <c r="X24" i="8"/>
  <c r="AC20" i="8"/>
  <c r="AE18" i="8" s="1"/>
  <c r="CE46" i="8" l="1"/>
  <c r="CE25" i="8"/>
  <c r="CE19" i="8"/>
  <c r="CE2" i="8"/>
  <c r="CE10" i="8"/>
  <c r="BL97" i="8"/>
  <c r="BL26" i="8"/>
  <c r="BL90" i="8"/>
  <c r="BL107" i="8"/>
  <c r="BL2" i="8"/>
  <c r="AS2" i="8"/>
  <c r="AS53" i="8"/>
  <c r="AS36" i="8"/>
  <c r="AS18" i="8"/>
  <c r="AS29" i="8"/>
  <c r="AE38" i="8"/>
  <c r="AE31" i="8"/>
  <c r="AC14" i="8" l="1"/>
  <c r="AD5" i="8"/>
  <c r="AE5" i="8"/>
  <c r="AE6" i="8"/>
  <c r="AE7" i="8"/>
  <c r="AE8" i="8"/>
  <c r="AE9" i="8"/>
  <c r="AD6" i="8"/>
  <c r="AD7" i="8"/>
  <c r="AD8" i="8"/>
  <c r="AD9" i="8"/>
  <c r="AE12" i="8" l="1"/>
  <c r="AE2" i="8"/>
  <c r="X18" i="8"/>
  <c r="X12" i="8"/>
  <c r="X2" i="8"/>
  <c r="R57" i="8"/>
  <c r="T55" i="8" s="1"/>
  <c r="F17" i="7" s="1"/>
  <c r="M55" i="8"/>
  <c r="S50" i="8"/>
  <c r="R50" i="8"/>
  <c r="S49" i="8"/>
  <c r="R49" i="8"/>
  <c r="S48" i="8"/>
  <c r="R48" i="8"/>
  <c r="S47" i="8"/>
  <c r="R47" i="8"/>
  <c r="S46" i="8"/>
  <c r="R46" i="8"/>
  <c r="S45" i="8"/>
  <c r="R45" i="8"/>
  <c r="S44" i="8"/>
  <c r="R44" i="8"/>
  <c r="S43" i="8"/>
  <c r="R43" i="8"/>
  <c r="S42" i="8"/>
  <c r="R42" i="8"/>
  <c r="S41" i="8"/>
  <c r="R41" i="8"/>
  <c r="S40" i="8"/>
  <c r="R40" i="8"/>
  <c r="S39" i="8"/>
  <c r="R39" i="8"/>
  <c r="M36" i="8"/>
  <c r="S21" i="8"/>
  <c r="S22" i="8"/>
  <c r="S23" i="8"/>
  <c r="S24" i="8"/>
  <c r="S25" i="8"/>
  <c r="S26" i="8"/>
  <c r="S27" i="8"/>
  <c r="S28" i="8"/>
  <c r="S29" i="8"/>
  <c r="S30" i="8"/>
  <c r="S31" i="8"/>
  <c r="S20" i="8"/>
  <c r="M17" i="8"/>
  <c r="T10" i="8"/>
  <c r="F14" i="7" s="1"/>
  <c r="M2" i="8"/>
  <c r="M10" i="8"/>
  <c r="R4" i="8"/>
  <c r="T2" i="8" s="1"/>
  <c r="F13" i="7" s="1"/>
  <c r="B18" i="7"/>
  <c r="B13" i="7"/>
  <c r="G19" i="7"/>
  <c r="E10" i="7" s="1"/>
  <c r="J10" i="5"/>
  <c r="U3" i="5"/>
  <c r="U4" i="5"/>
  <c r="U5" i="5"/>
  <c r="U2" i="5"/>
  <c r="AJ8" i="31"/>
  <c r="D19" i="31"/>
  <c r="D18" i="31"/>
  <c r="D17" i="31"/>
  <c r="D16" i="31"/>
  <c r="D15" i="31"/>
  <c r="D14" i="31"/>
  <c r="D13" i="31"/>
  <c r="D12" i="31"/>
  <c r="D11" i="31"/>
  <c r="D10" i="31"/>
  <c r="D9" i="31"/>
  <c r="D8" i="31"/>
  <c r="D7" i="31"/>
  <c r="D6" i="31"/>
  <c r="H21" i="33"/>
  <c r="H20" i="33"/>
  <c r="H19" i="33"/>
  <c r="H18" i="33"/>
  <c r="H17" i="33"/>
  <c r="H16" i="33"/>
  <c r="H15" i="33"/>
  <c r="H14" i="33"/>
  <c r="H13" i="33"/>
  <c r="H12" i="33"/>
  <c r="H11" i="33"/>
  <c r="H10" i="33"/>
  <c r="H9" i="33"/>
  <c r="H8" i="33"/>
  <c r="N5" i="5"/>
  <c r="M5" i="5"/>
  <c r="AR29" i="28"/>
  <c r="AR24" i="28"/>
  <c r="AR18" i="28"/>
  <c r="N18" i="28"/>
  <c r="N17" i="28"/>
  <c r="N16" i="28"/>
  <c r="N15" i="28"/>
  <c r="N14" i="28"/>
  <c r="N13" i="28"/>
  <c r="N12" i="28"/>
  <c r="N11" i="28"/>
  <c r="N10" i="28"/>
  <c r="N9" i="28"/>
  <c r="N8" i="28"/>
  <c r="N7" i="28"/>
  <c r="B14" i="7" l="1"/>
  <c r="B15" i="7" s="1"/>
  <c r="B16" i="7" s="1"/>
  <c r="B17" i="7" s="1"/>
  <c r="T17" i="8"/>
  <c r="F15" i="7" s="1"/>
  <c r="W2" i="5"/>
  <c r="Z3" i="5"/>
  <c r="T36" i="8"/>
  <c r="F16" i="7" s="1"/>
  <c r="X5" i="5"/>
  <c r="V2" i="5"/>
  <c r="AA5" i="5"/>
  <c r="AA4" i="5"/>
  <c r="V5" i="5"/>
  <c r="V3" i="5"/>
  <c r="AA3" i="5"/>
  <c r="V4" i="5"/>
  <c r="W5" i="5"/>
  <c r="Y3" i="5"/>
  <c r="X3" i="5"/>
  <c r="Z4" i="5"/>
  <c r="W3" i="5"/>
  <c r="Y4" i="5"/>
  <c r="AA2" i="5"/>
  <c r="X4" i="5"/>
  <c r="Z2" i="5"/>
  <c r="Z5" i="5"/>
  <c r="W4" i="5"/>
  <c r="Y2" i="5"/>
  <c r="Y5" i="5"/>
  <c r="X2" i="5"/>
  <c r="U6" i="27"/>
  <c r="L6" i="27"/>
  <c r="C6" i="27"/>
  <c r="L5" i="5"/>
  <c r="O5" i="5"/>
  <c r="K5" i="5"/>
  <c r="F19" i="7" l="1"/>
  <c r="D10" i="7" s="1"/>
  <c r="D8" i="7"/>
  <c r="G102" i="8"/>
  <c r="H102" i="8"/>
  <c r="I102" i="8"/>
  <c r="G103" i="8"/>
  <c r="H103" i="8"/>
  <c r="I103" i="8"/>
  <c r="G104" i="8"/>
  <c r="H104" i="8"/>
  <c r="I104" i="8"/>
  <c r="G105" i="8"/>
  <c r="H105" i="8"/>
  <c r="I105" i="8"/>
  <c r="G106" i="8"/>
  <c r="H106" i="8"/>
  <c r="I106" i="8"/>
  <c r="G107" i="8"/>
  <c r="H107" i="8"/>
  <c r="I107" i="8"/>
  <c r="H100" i="8"/>
  <c r="I100" i="8"/>
  <c r="H101" i="8"/>
  <c r="I101" i="8"/>
  <c r="G101" i="8"/>
  <c r="G100" i="8"/>
  <c r="H86" i="8"/>
  <c r="H87" i="8"/>
  <c r="H88" i="8"/>
  <c r="H89" i="8"/>
  <c r="H90" i="8"/>
  <c r="H91" i="8"/>
  <c r="H92" i="8"/>
  <c r="H93" i="8"/>
  <c r="H94" i="8"/>
  <c r="B73" i="8"/>
  <c r="H73" i="8" s="1"/>
  <c r="B74" i="8"/>
  <c r="H74" i="8" s="1"/>
  <c r="B75" i="8"/>
  <c r="H75" i="8" s="1"/>
  <c r="B76" i="8"/>
  <c r="H76" i="8" s="1"/>
  <c r="B77" i="8"/>
  <c r="H77" i="8" s="1"/>
  <c r="B78" i="8"/>
  <c r="H78" i="8" s="1"/>
  <c r="B79" i="8"/>
  <c r="H79" i="8" s="1"/>
  <c r="H28" i="8"/>
  <c r="I28" i="8"/>
  <c r="H29" i="8"/>
  <c r="I29" i="8"/>
  <c r="H30" i="8"/>
  <c r="I30" i="8"/>
  <c r="H31" i="8"/>
  <c r="I31" i="8"/>
  <c r="H32" i="8"/>
  <c r="I32" i="8"/>
  <c r="H33" i="8"/>
  <c r="I33" i="8"/>
  <c r="H34" i="8"/>
  <c r="I34" i="8"/>
  <c r="H35" i="8"/>
  <c r="I35" i="8"/>
  <c r="G28" i="8"/>
  <c r="G29" i="8"/>
  <c r="G30" i="8"/>
  <c r="G31" i="8"/>
  <c r="G32" i="8"/>
  <c r="G33" i="8"/>
  <c r="G34" i="8"/>
  <c r="G35" i="8"/>
  <c r="H10" i="8"/>
  <c r="I10" i="8"/>
  <c r="H11" i="8"/>
  <c r="I11" i="8"/>
  <c r="H12" i="8"/>
  <c r="I12" i="8"/>
  <c r="H13" i="8"/>
  <c r="I13" i="8"/>
  <c r="H14" i="8"/>
  <c r="I14" i="8"/>
  <c r="H15" i="8"/>
  <c r="I15" i="8"/>
  <c r="G11" i="8"/>
  <c r="G12" i="8"/>
  <c r="G13" i="8"/>
  <c r="G14" i="8"/>
  <c r="G15" i="8"/>
  <c r="G10" i="8"/>
  <c r="G5" i="8"/>
  <c r="G4" i="8"/>
  <c r="I25" i="8" l="1"/>
  <c r="I2" i="8"/>
  <c r="I8" i="8"/>
  <c r="I97" i="8"/>
  <c r="I82" i="8"/>
  <c r="I70"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D2DEA4E-3A62-4B7F-A1D0-80F61A0A9FCE}" keepAlive="1" name="Query - hoc_sinh" description="Connection to the 'hoc_sinh' query in the workbook." type="5" refreshedVersion="8" background="1" saveData="1">
    <dbPr connection="Provider=Microsoft.Mashup.OleDb.1;Data Source=$Workbook$;Location=hoc_sinh;Extended Properties=&quot;&quot;" command="SELECT * FROM [hoc_sinh]"/>
  </connection>
  <connection id="2" xr16:uid="{11EA47A7-AA24-4B00-95BD-EA54DF4E7B9A}" keepAlive="1" name="Query - hoc_sinh(1)" description="Connection to the 'hoc_sinh' query in the workbook." type="5" refreshedVersion="0" background="1">
    <dbPr connection="Provider=Microsoft.Mashup.OleDb.1;Data Source=$Workbook$;Location=hoc_sinh;Extended Properties=&quot;&quot;" command="SELECT * FROM [hoc_sinh]"/>
  </connection>
  <connection id="3" xr16:uid="{DB2B7238-CE39-4DC9-84F9-2BD48E8CE694}" keepAlive="1" name="Query - student" description="Connection to the 'student' query in the workbook." type="5" refreshedVersion="0" background="1" saveData="1">
    <dbPr connection="Provider=Microsoft.Mashup.OleDb.1;Data Source=$Workbook$;Location=student;Extended Properties=&quot;&quot;" command="SELECT * FROM [student]"/>
  </connection>
  <connection id="4" xr16:uid="{10119801-3AD8-464C-867E-A52C85E78E3F}" keepAlive="1" name="Query - student(1)" description="Connection to the 'student' query in the workbook." type="5" refreshedVersion="8" background="1" saveData="1">
    <dbPr connection="Provider=Microsoft.Mashup.OleDb.1;Data Source=$Workbook$;Location=student;Extended Properties=&quot;&quot;" command="SELECT * FROM [student]"/>
  </connection>
  <connection id="5" xr16:uid="{B37C731D-ECBC-4935-A22E-1C9056B32077}" keepAlive="1" name="Query - student(2)" description="Connection to the 'student' query in the workbook." type="5" refreshedVersion="8" background="1" saveData="1">
    <dbPr connection="Provider=Microsoft.Mashup.OleDb.1;Data Source=$Workbook$;Location=student;Extended Properties=&quot;&quot;" command="SELECT * FROM [student]"/>
  </connection>
  <connection id="6" xr16:uid="{7E0F207D-B96E-4494-BA82-F482B344C945}" keepAlive="1" name="Query - student(3)" description="Connection to the 'student' query in the workbook." type="5" refreshedVersion="8" background="1" saveData="1">
    <dbPr connection="Provider=Microsoft.Mashup.OleDb.1;Data Source=$Workbook$;Location=student;Extended Properties=&quot;&quot;" command="SELECT * FROM [studen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<sst xmlns="http://schemas.openxmlformats.org/spreadsheetml/2006/main" count="2051" uniqueCount="732">
  <si>
    <t>AUD</t>
  </si>
  <si>
    <t>CAD</t>
  </si>
  <si>
    <t>CHF</t>
  </si>
  <si>
    <t>CNY</t>
  </si>
  <si>
    <t>EUR</t>
  </si>
  <si>
    <t>GBP</t>
  </si>
  <si>
    <t>Account</t>
  </si>
  <si>
    <t>Opening Balance</t>
  </si>
  <si>
    <t>Current Balance</t>
  </si>
  <si>
    <t>Code</t>
  </si>
  <si>
    <t>Last Name</t>
  </si>
  <si>
    <t>Thông báo</t>
  </si>
  <si>
    <t>Check làm bài</t>
  </si>
  <si>
    <t>Chưa nhập họ tên. Vui lòng nhập đủ thông tin.</t>
  </si>
  <si>
    <t>Mật khẩu Protect Sheet</t>
  </si>
  <si>
    <t>Chưa nhập Mã nhân viên / Email / SĐT. 
Vui lòng nhập một trong ba thông tin vào ô này.</t>
  </si>
  <si>
    <t>tài khoản Admin</t>
  </si>
  <si>
    <t>Reset thành công!</t>
  </si>
  <si>
    <t>Bạn đã hoàn thành bài kiểm tra. 
Vui lòng liên hệ với Giáo viên để được hỗ trợ.</t>
  </si>
  <si>
    <t>Bạn không được thực hiện chức năng này. 
Vui lòng liên hệ với Giáo viên để được hỗ trợ.</t>
  </si>
  <si>
    <t>iigvn</t>
  </si>
  <si>
    <t>Admin-iig</t>
  </si>
  <si>
    <t>Thời gian làm bài:</t>
  </si>
  <si>
    <t>phút</t>
  </si>
  <si>
    <t>b</t>
  </si>
  <si>
    <t xml:space="preserve">Họ và tên học sinh: </t>
  </si>
  <si>
    <t xml:space="preserve">Lớp: </t>
  </si>
  <si>
    <t>Task 1</t>
  </si>
  <si>
    <t>Yêu cầu</t>
  </si>
  <si>
    <t>Kết quả</t>
  </si>
  <si>
    <t>Điểm</t>
  </si>
  <si>
    <t>Task 2</t>
  </si>
  <si>
    <t>Task 3</t>
  </si>
  <si>
    <t>Contact</t>
  </si>
  <si>
    <t>Exchange Rates</t>
  </si>
  <si>
    <t>New Accounts</t>
  </si>
  <si>
    <t>VIP Accounts</t>
  </si>
  <si>
    <t>#,##0.00</t>
  </si>
  <si>
    <t>_(* #,##0.00_);_(* (#,##0.00);_(* "-"??_);_(@_)</t>
  </si>
  <si>
    <t xml:space="preserve"> </t>
  </si>
  <si>
    <t>Task 4</t>
  </si>
  <si>
    <t>Hàm</t>
  </si>
  <si>
    <t>KQ</t>
  </si>
  <si>
    <t>Task 5</t>
  </si>
  <si>
    <t>Điểm chuẩn</t>
  </si>
  <si>
    <t>Tổng điểm</t>
  </si>
  <si>
    <t>Task</t>
  </si>
  <si>
    <t>Nội dung</t>
  </si>
  <si>
    <t>Lớp:</t>
  </si>
  <si>
    <t>Thời gian bắt đầu:</t>
  </si>
  <si>
    <t>Thời gian kết thúc:</t>
  </si>
  <si>
    <t>Số phút làm bài:</t>
  </si>
  <si>
    <t>Điểm đạt</t>
  </si>
  <si>
    <t>Tổng điểm đạt</t>
  </si>
  <si>
    <t>Task 6</t>
  </si>
  <si>
    <t>Series Name</t>
  </si>
  <si>
    <t>Series Value</t>
  </si>
  <si>
    <t>Series XValue</t>
  </si>
  <si>
    <t>A</t>
  </si>
  <si>
    <t>BÀI KIỂM TRA EXCEL</t>
  </si>
  <si>
    <t>Nội dung cần update</t>
  </si>
  <si>
    <t>1. Nhiều Project trong cùng 1 file</t>
  </si>
  <si>
    <t>Có link chuyển project</t>
  </si>
  <si>
    <t>có link chuyển các task trong 1 project</t>
  </si>
  <si>
    <t>2. Thiết kế giao diện giống bài thi chuẩn</t>
  </si>
  <si>
    <t>ok</t>
  </si>
  <si>
    <t>3. Có nút Preview / Next Project</t>
  </si>
  <si>
    <t>4. Có nút Preview / Next Task trong Project</t>
  </si>
  <si>
    <t>tạm thời chưa cần (sau này có thể phát triển thêm, có chức năng đánh dấu hoàn thành task, xem lại task, gắn cờ…)</t>
  </si>
  <si>
    <t>nút hoàn thành là hoàn thành từng Project =&gt; khi hoàn thành sẽ chuyển Project tiếp theo. Project nào đã hoàn thành sẽ có màu khác</t>
  </si>
  <si>
    <t>nút hoàn thành của riêng Project</t>
  </si>
  <si>
    <t>nút Nộp bài - kết thúc làm bài và hiện phiếu điểm</t>
  </si>
  <si>
    <t>Action</t>
  </si>
  <si>
    <t>Project 1</t>
  </si>
  <si>
    <t>Selected Task</t>
  </si>
  <si>
    <t>Done</t>
  </si>
  <si>
    <t>BP4224</t>
  </si>
  <si>
    <t>BP</t>
  </si>
  <si>
    <t>Yes</t>
  </si>
  <si>
    <t>SP5417</t>
  </si>
  <si>
    <t>SP</t>
  </si>
  <si>
    <t>MP1243</t>
  </si>
  <si>
    <t>MP</t>
  </si>
  <si>
    <t>MP5634</t>
  </si>
  <si>
    <t>SP9399</t>
  </si>
  <si>
    <t>BP5066</t>
  </si>
  <si>
    <t>BP6431</t>
  </si>
  <si>
    <t>No</t>
  </si>
  <si>
    <t>MP7258</t>
  </si>
  <si>
    <t>SP9752</t>
  </si>
  <si>
    <t>SP6489</t>
  </si>
  <si>
    <t>BP5234</t>
  </si>
  <si>
    <t>MP5125</t>
  </si>
  <si>
    <t>SP8008</t>
  </si>
  <si>
    <t>SP5319</t>
  </si>
  <si>
    <t>BP4312</t>
  </si>
  <si>
    <t>MP5677</t>
  </si>
  <si>
    <t>BP1122</t>
  </si>
  <si>
    <t>SP1122</t>
  </si>
  <si>
    <t>BP3166</t>
  </si>
  <si>
    <t>MP3166</t>
  </si>
  <si>
    <t>Project 2</t>
  </si>
  <si>
    <t>Project 3</t>
  </si>
  <si>
    <t>Project 4</t>
  </si>
  <si>
    <t>Project 5</t>
  </si>
  <si>
    <t>Project 6</t>
  </si>
  <si>
    <t>From Sheet</t>
  </si>
  <si>
    <t>To Sheet</t>
  </si>
  <si>
    <r>
      <t xml:space="preserve">Đặt name_range cho A11:B11 là </t>
    </r>
    <r>
      <rPr>
        <b/>
        <sz val="11"/>
        <color theme="1"/>
        <rFont val="Calibri"/>
        <family val="2"/>
        <scheme val="minor"/>
      </rPr>
      <t>Date</t>
    </r>
  </si>
  <si>
    <t>January</t>
  </si>
  <si>
    <t>February</t>
  </si>
  <si>
    <t>March</t>
  </si>
  <si>
    <t>Summary</t>
  </si>
  <si>
    <t>ID</t>
  </si>
  <si>
    <t>Name</t>
  </si>
  <si>
    <t>Tasks</t>
  </si>
  <si>
    <t>=VLOOKUP([@[Course Total]],'[Project 3.xlsx]Grade Criteria'!$D$5:$E$16,2,TRUE)</t>
  </si>
  <si>
    <t>B+</t>
  </si>
  <si>
    <t>D-</t>
  </si>
  <si>
    <t>A-</t>
  </si>
  <si>
    <t>C</t>
  </si>
  <si>
    <t>F</t>
  </si>
  <si>
    <t>D+</t>
  </si>
  <si>
    <t>C-</t>
  </si>
  <si>
    <t>=tbl_P3_backup1[@Total]+tbl_P3_backup2[@[Project Total]]+[@[Exam Total]]</t>
  </si>
  <si>
    <t>=SUM(tbl_P3_backup3[@[Exam 1]:[Exam 3]])</t>
  </si>
  <si>
    <t>#1</t>
  </si>
  <si>
    <t>#2</t>
  </si>
  <si>
    <t>#3</t>
  </si>
  <si>
    <t>#4</t>
  </si>
  <si>
    <t>#5</t>
  </si>
  <si>
    <t>#6</t>
  </si>
  <si>
    <t>#7</t>
  </si>
  <si>
    <t>C+</t>
  </si>
  <si>
    <t>#8</t>
  </si>
  <si>
    <t>B-</t>
  </si>
  <si>
    <t>#9</t>
  </si>
  <si>
    <t>B</t>
  </si>
  <si>
    <t>#10</t>
  </si>
  <si>
    <t>Classes</t>
  </si>
  <si>
    <t>Sheet1</t>
  </si>
  <si>
    <t>Sheet2</t>
  </si>
  <si>
    <t>Sheet3</t>
  </si>
  <si>
    <t>Sheet4</t>
  </si>
  <si>
    <t>GP Company</t>
  </si>
  <si>
    <t>East</t>
  </si>
  <si>
    <t>Central</t>
  </si>
  <si>
    <t>West</t>
  </si>
  <si>
    <t>import from txt file</t>
  </si>
  <si>
    <t>3"</t>
  </si>
  <si>
    <t>5"</t>
  </si>
  <si>
    <t>chưa xong</t>
  </si>
  <si>
    <t>5. Reset đề bài</t>
  </si>
  <si>
    <t>reset bảng dữ liệu về trạng thái chưa làm</t>
  </si>
  <si>
    <t>reset biểu đồ về trạng thái chưa làm</t>
  </si>
  <si>
    <t>cần kiểm tra có biểu đồ đó trong sheet không, nếu ko có sẽ bị lỗi.</t>
  </si>
  <si>
    <t>khi reset sheet chứa biểu đồ:</t>
  </si>
  <si>
    <t>nếu biểu đồ đã xóa: tạo biểu đồ mới, với tên chart1, sau đó đặt dữ liệu cho biểu đồ + kích thước biểu đồ</t>
  </si>
  <si>
    <t>biểu đồ đã có: đặt lại dữ liệu + kích thước</t>
  </si>
  <si>
    <t>6. Nội dung cụ thể từng task trong các project</t>
  </si>
  <si>
    <t>7. Chấm điểm từng task trong các project</t>
  </si>
  <si>
    <t>project 1</t>
  </si>
  <si>
    <t>project 2</t>
  </si>
  <si>
    <t>project 3</t>
  </si>
  <si>
    <t>project 4</t>
  </si>
  <si>
    <t>project 5</t>
  </si>
  <si>
    <t>project 6</t>
  </si>
  <si>
    <t>8. Phiếu điểm tổng</t>
  </si>
  <si>
    <t>9. Khóa, bảo mật</t>
  </si>
  <si>
    <t>Over view: Bạn đang chuẩn bị dữ liệu hàng tồn kho để trình bày cho người quản lý của bạn tại Công ty GP.</t>
  </si>
  <si>
    <t>Project</t>
  </si>
  <si>
    <t>Data</t>
  </si>
  <si>
    <t>Reset</t>
  </si>
  <si>
    <t>X</t>
  </si>
  <si>
    <t>MENU</t>
  </si>
  <si>
    <t xml:space="preserve">Giao diện trong mỗi Project, thể hiện các Task, nút chuyển đổi </t>
  </si>
  <si>
    <t>Chuyển Project</t>
  </si>
  <si>
    <t>Chuyển Task</t>
  </si>
  <si>
    <t>Nội dung Task</t>
  </si>
  <si>
    <t>Done Project</t>
  </si>
  <si>
    <t>Chấm điểm</t>
  </si>
  <si>
    <t>Hoàn thành</t>
  </si>
  <si>
    <t>STT</t>
  </si>
  <si>
    <t>Thay đổi giá trị trong Settings - done</t>
  </si>
  <si>
    <t>Chạy lại code reset project button format</t>
  </si>
  <si>
    <t>Hiển thị userform yêu cầu xác nhận / hủy</t>
  </si>
  <si>
    <t>Project done</t>
  </si>
  <si>
    <t>Task Selected</t>
  </si>
  <si>
    <t>Sheet Active</t>
  </si>
  <si>
    <t>Project Button</t>
  </si>
  <si>
    <t>Task Data</t>
  </si>
  <si>
    <t>PHIẾU KẾT QUẢ KIỂM TRA</t>
  </si>
  <si>
    <t>Chạy code chấm điểm cho riêng project</t>
  </si>
  <si>
    <t>P2_Table1[[#All],[Client ID]:[Policy Type]]</t>
  </si>
  <si>
    <t>A=IF</t>
  </si>
  <si>
    <t>A=LEFT</t>
  </si>
  <si>
    <t>New Data</t>
  </si>
  <si>
    <t>Size</t>
  </si>
  <si>
    <t>Color</t>
  </si>
  <si>
    <t>Bold</t>
  </si>
  <si>
    <t>A1</t>
  </si>
  <si>
    <t>Italic</t>
  </si>
  <si>
    <t>Format</t>
  </si>
  <si>
    <t>A2</t>
  </si>
  <si>
    <t>Alignment</t>
  </si>
  <si>
    <t>A=COUNTBLANK</t>
  </si>
  <si>
    <t>Legend</t>
  </si>
  <si>
    <t>Data label</t>
  </si>
  <si>
    <t>Data label position: Outside End</t>
  </si>
  <si>
    <t>Project 1 - Ghi nhận hoàn thành.</t>
  </si>
  <si>
    <t>Project 2 - Ghi nhận hoàn thành.</t>
  </si>
  <si>
    <t>Project 3 - Ghi nhận hoàn thành.</t>
  </si>
  <si>
    <t>Project 4 - Ghi nhận hoàn thành.</t>
  </si>
  <si>
    <t>Project 5 - Ghi nhận hoàn thành.</t>
  </si>
  <si>
    <t>Project 6 - Ghi nhận hoàn thành.</t>
  </si>
  <si>
    <t>First Nam</t>
  </si>
  <si>
    <t>Gender</t>
  </si>
  <si>
    <t>Country</t>
  </si>
  <si>
    <t>Query name</t>
  </si>
  <si>
    <t>Check</t>
  </si>
  <si>
    <t>Column</t>
  </si>
  <si>
    <t>D</t>
  </si>
  <si>
    <t>E</t>
  </si>
  <si>
    <t>G</t>
  </si>
  <si>
    <t>Type</t>
  </si>
  <si>
    <t>F4:H9</t>
  </si>
  <si>
    <t>Clear</t>
  </si>
  <si>
    <t>check table</t>
  </si>
  <si>
    <t>Check format</t>
  </si>
  <si>
    <t>Calibri</t>
  </si>
  <si>
    <t>font name</t>
  </si>
  <si>
    <t>font size</t>
  </si>
  <si>
    <t>theme color (Accent)</t>
  </si>
  <si>
    <t>tint and Shade</t>
  </si>
  <si>
    <t>alignment</t>
  </si>
  <si>
    <t>bold</t>
  </si>
  <si>
    <t>italic</t>
  </si>
  <si>
    <t>fill - color</t>
  </si>
  <si>
    <t>fill - tint and shade</t>
  </si>
  <si>
    <t>A4</t>
  </si>
  <si>
    <t>A3</t>
  </si>
  <si>
    <t>Chấm điểm cho thao tác Move Chart</t>
  </si>
  <si>
    <t>Tạo sheet mới có tên theo yêu cầu</t>
  </si>
  <si>
    <t>trong sheet mới có chart theo yêu cầu</t>
  </si>
  <si>
    <t>trong sheet ban đầu không còn chart</t>
  </si>
  <si>
    <t>Sau khi hoàn thành</t>
  </si>
  <si>
    <t>Thực hiện chấm điểm</t>
  </si>
  <si>
    <t>Xóa sheet mới tạo</t>
  </si>
  <si>
    <t>Lấy lại chart</t>
  </si>
  <si>
    <t>sh_name</t>
  </si>
  <si>
    <t>old_chart</t>
  </si>
  <si>
    <t>Hours</t>
  </si>
  <si>
    <t>Setting</t>
  </si>
  <si>
    <t>Process</t>
  </si>
  <si>
    <t>Start</t>
  </si>
  <si>
    <t>Request</t>
  </si>
  <si>
    <t>P1_backup</t>
  </si>
  <si>
    <t>P2_backup</t>
  </si>
  <si>
    <t>P3_backup</t>
  </si>
  <si>
    <t>P4_backup</t>
  </si>
  <si>
    <t>P5_backup</t>
  </si>
  <si>
    <t>P6_backup</t>
  </si>
  <si>
    <t>List_sheet_name_new</t>
  </si>
  <si>
    <t>Check Avaiable</t>
  </si>
  <si>
    <t>CF Count</t>
  </si>
  <si>
    <t>Có chart</t>
  </si>
  <si>
    <t>Loại chart</t>
  </si>
  <si>
    <t>Data Table - No legend key</t>
  </si>
  <si>
    <t>ShowLegendKey</t>
  </si>
  <si>
    <t>Có Freeze</t>
  </si>
  <si>
    <t>Vị trí dòng</t>
  </si>
  <si>
    <t>Vị trí cột</t>
  </si>
  <si>
    <t>Vùng</t>
  </si>
  <si>
    <t>Loại</t>
  </si>
  <si>
    <t>chưa xác định được cụ thể loại iconset</t>
  </si>
  <si>
    <t>TableStyleMedium1</t>
  </si>
  <si>
    <t>Table Style</t>
  </si>
  <si>
    <t>Chart Color</t>
  </si>
  <si>
    <t>A=AVERAGE</t>
  </si>
  <si>
    <t>A=[@[First Name]]&amp;"@gmail.com"</t>
  </si>
  <si>
    <t>A=CONCAT([@[First Name]],"@gmail.com")</t>
  </si>
  <si>
    <t>A=CONCATENATE([@[First Name]],"@gmail.com")</t>
  </si>
  <si>
    <t>Ngân hàng 123</t>
  </si>
  <si>
    <t>Tài khoản VIP</t>
  </si>
  <si>
    <t>Tài khoản Thường</t>
  </si>
  <si>
    <t>Tùng Anh</t>
  </si>
  <si>
    <t>Thành Đô</t>
  </si>
  <si>
    <t>Phú Gia</t>
  </si>
  <si>
    <t>Lâm Thanh</t>
  </si>
  <si>
    <t>Hòa Bình</t>
  </si>
  <si>
    <t>Thanh Mai</t>
  </si>
  <si>
    <t>Trần Lâm</t>
  </si>
  <si>
    <t>TA</t>
  </si>
  <si>
    <t>TD</t>
  </si>
  <si>
    <t>PG</t>
  </si>
  <si>
    <t>LT</t>
  </si>
  <si>
    <t>HB</t>
  </si>
  <si>
    <t>TM</t>
  </si>
  <si>
    <t>TL</t>
  </si>
  <si>
    <t>Tháng 1</t>
  </si>
  <si>
    <t>Tháng 2</t>
  </si>
  <si>
    <t>Tháng 3</t>
  </si>
  <si>
    <t>Tháng 4</t>
  </si>
  <si>
    <t>Trung bình tháng</t>
  </si>
  <si>
    <t>Tên tài khoản</t>
  </si>
  <si>
    <t>Số dư mở thẻ</t>
  </si>
  <si>
    <t>Số dư hiện tại</t>
  </si>
  <si>
    <t>Tỷ giá ngoại tệ</t>
  </si>
  <si>
    <t>Ngoại tệ</t>
  </si>
  <si>
    <t>Giá mua vào</t>
  </si>
  <si>
    <t>Giá bán ra</t>
  </si>
  <si>
    <t>Giá dự đoán</t>
  </si>
  <si>
    <t>Ngày cập nhật</t>
  </si>
  <si>
    <t>Thông tin tài khoản</t>
  </si>
  <si>
    <t>Địa chỉ email</t>
  </si>
  <si>
    <t>First name</t>
  </si>
  <si>
    <t>Last name</t>
  </si>
  <si>
    <t>123AN46</t>
  </si>
  <si>
    <t>123AN47</t>
  </si>
  <si>
    <t>123AN48</t>
  </si>
  <si>
    <t>123AN49</t>
  </si>
  <si>
    <t>123AN50</t>
  </si>
  <si>
    <t>123AN51</t>
  </si>
  <si>
    <t>123AN52</t>
  </si>
  <si>
    <t>123AN53</t>
  </si>
  <si>
    <t>Trên trang tính "Tỷ giá", trong các ô B4:D9, Định dạng các ô để hiển thị các số đến hai chữ số thập phân.</t>
  </si>
  <si>
    <t>Trên trang tính "Thông tin tài khoản", trong cột "Địa chỉ email", sử dụng một hàm để xây dựng địa chỉ email cho mỗi người bằng cách sử dụng tên (First name) và ''@gmail.com".</t>
  </si>
  <si>
    <t>Nguyen</t>
  </si>
  <si>
    <t>Lam</t>
  </si>
  <si>
    <t>Mai</t>
  </si>
  <si>
    <t>Tung</t>
  </si>
  <si>
    <t>Hoa</t>
  </si>
  <si>
    <t>Binh</t>
  </si>
  <si>
    <t>Tuan</t>
  </si>
  <si>
    <t>Minh</t>
  </si>
  <si>
    <t>Trung</t>
  </si>
  <si>
    <t>Hieu</t>
  </si>
  <si>
    <t>Hai</t>
  </si>
  <si>
    <t>Tran</t>
  </si>
  <si>
    <t>Pham</t>
  </si>
  <si>
    <t>Le</t>
  </si>
  <si>
    <t>Duong</t>
  </si>
  <si>
    <t>Ly</t>
  </si>
  <si>
    <t>Hoang</t>
  </si>
  <si>
    <t>Trên trang tính “Tổng hợp 3 tháng”, thêm văn bản thay thế (Alt text) với nội dung “New Data” cho biểu đồ.</t>
  </si>
  <si>
    <t>Tài khoản thường</t>
  </si>
  <si>
    <t>Tỷ giá</t>
  </si>
  <si>
    <t>Tổng hợp 3 tháng</t>
  </si>
  <si>
    <t>Sheet name</t>
  </si>
  <si>
    <t>Chủ đề</t>
  </si>
  <si>
    <t>Câu hỏi</t>
  </si>
  <si>
    <t>Môn thi</t>
  </si>
  <si>
    <t>Thang điểm</t>
  </si>
  <si>
    <t>Trường THPT XYZ</t>
  </si>
  <si>
    <t>Kiểm tra giữa kỳ MOS</t>
  </si>
  <si>
    <t>Họ tên học sinh</t>
  </si>
  <si>
    <t>Mã HS</t>
  </si>
  <si>
    <t>Tổng</t>
  </si>
  <si>
    <t>Môn 1</t>
  </si>
  <si>
    <t>Môn 2</t>
  </si>
  <si>
    <t>Môn 3</t>
  </si>
  <si>
    <t>Xếp loại</t>
  </si>
  <si>
    <t>Tổng 3 môn</t>
  </si>
  <si>
    <t>Điểm tổng</t>
  </si>
  <si>
    <t>Điểm tối đa</t>
  </si>
  <si>
    <t>Tổng số câu</t>
  </si>
  <si>
    <t>Tổng số chủ đề</t>
  </si>
  <si>
    <t>Tổng môn thi</t>
  </si>
  <si>
    <t>Trần Bình Minh</t>
  </si>
  <si>
    <t>Phạm Thu Thảo</t>
  </si>
  <si>
    <t>Ngô Phương Thanh</t>
  </si>
  <si>
    <t>Lê Thu Uyên</t>
  </si>
  <si>
    <t>Dương Mạnh Hùng</t>
  </si>
  <si>
    <t>Ngô Minh Tâm</t>
  </si>
  <si>
    <t>Trần Văn Bách</t>
  </si>
  <si>
    <t>Nguyễn Thị Hà</t>
  </si>
  <si>
    <t>Đặng Văn Bình</t>
  </si>
  <si>
    <t>Nguyễn Văn Minh</t>
  </si>
  <si>
    <t>Trần Tâm</t>
  </si>
  <si>
    <t>Lê Nhã Linh</t>
  </si>
  <si>
    <t>A652</t>
  </si>
  <si>
    <t>A130</t>
  </si>
  <si>
    <t>A315</t>
  </si>
  <si>
    <t>A570</t>
  </si>
  <si>
    <t>A495</t>
  </si>
  <si>
    <t>A451</t>
  </si>
  <si>
    <t>A734</t>
  </si>
  <si>
    <t>A470</t>
  </si>
  <si>
    <t>A931</t>
  </si>
  <si>
    <t>A210</t>
  </si>
  <si>
    <t>A450</t>
  </si>
  <si>
    <t>A556</t>
  </si>
  <si>
    <t>Câu 1</t>
  </si>
  <si>
    <t>Câu 2</t>
  </si>
  <si>
    <t>Câu 3</t>
  </si>
  <si>
    <t>Câu 4</t>
  </si>
  <si>
    <t>Câu 5</t>
  </si>
  <si>
    <t>Câu 6</t>
  </si>
  <si>
    <t>Câu 7</t>
  </si>
  <si>
    <t>Câu 8</t>
  </si>
  <si>
    <t>Câu 9</t>
  </si>
  <si>
    <t>Câu 10</t>
  </si>
  <si>
    <t>Chủ đề 1</t>
  </si>
  <si>
    <t>Chủ đề 2</t>
  </si>
  <si>
    <t>Chủ đề 3</t>
  </si>
  <si>
    <t>Chủ đề 4</t>
  </si>
  <si>
    <t>Điểm chủ đề</t>
  </si>
  <si>
    <t xml:space="preserve">Không có điểm thi môn: </t>
  </si>
  <si>
    <t>Sao chép định dạng của tiêu đề và phụ đề của trang tính “Câu hỏi” và áp dụng nó vào tiêu đề và phụ đề cho trang tính “Chủ đề”</t>
  </si>
  <si>
    <t>Trên trang tính “Câu hỏi”, đặt tên bảng là “Tasks”.</t>
  </si>
  <si>
    <t>Trên trang tính “Câu hỏi”, Định cấu hình các tùy chọn kiểu bảng để tự động tô bóng các hàng khác trong bảng.</t>
  </si>
  <si>
    <t>Trên trang tính “Thang điểm”, trong ô B27, Nhập công thức tổng các giá trị trong phạm vi: “Total1”, “Total2” and “Total3”. Sử dụng tên phạm vi trong công thức thay vì tham chiếu ô hoặc giá trị.</t>
  </si>
  <si>
    <t>Trên trang tính “Môn thi”, trong ô E17, sử dụng một hàm để xác định có bao nhiêu học sinh không có kết quả bài thi “Môn 3”.</t>
  </si>
  <si>
    <t>Trên biểu đồ tại trang tính “Tổng điểm”, xóa chú thích và chỉ hiển thị các giá trị dưới dạng dữ liệu phía trên mỗi cột trong biểu đồ.</t>
  </si>
  <si>
    <t>Tháng 1 =</t>
  </si>
  <si>
    <t>Bảo hiểm TNT</t>
  </si>
  <si>
    <t>Tháng</t>
  </si>
  <si>
    <t>Số hợp đồng</t>
  </si>
  <si>
    <t>Dữ liệu tổng hợp</t>
  </si>
  <si>
    <t>Tháng 3 =</t>
  </si>
  <si>
    <t>Tháng 2 =</t>
  </si>
  <si>
    <t>Mã KH</t>
  </si>
  <si>
    <t>Mã Hợp đồng</t>
  </si>
  <si>
    <t>Ngày gia hạn</t>
  </si>
  <si>
    <t>Loại Hợp đồng</t>
  </si>
  <si>
    <t>Chiết khấu</t>
  </si>
  <si>
    <t>Số năm tham gia</t>
  </si>
  <si>
    <t>Trên trang tính “Tháng 2”, trong cột “Chiết khấu”, sử dùng hàm để hiển thị “YES” nếu “Số năm tham gia” lớn hơn 5. Ngược lại hiển thị “NO”.</t>
  </si>
  <si>
    <t>Trên trang tính “Tháng 2”, trong cột “Loại hợp đồng”, Sử dụng hàm để hiển thị hai ký tự đầu tiên của “Mã hợp đồng” trong cột B.</t>
  </si>
  <si>
    <t>TN0101</t>
  </si>
  <si>
    <t>TN0102</t>
  </si>
  <si>
    <t>TN0103</t>
  </si>
  <si>
    <t>TN0104</t>
  </si>
  <si>
    <t>TN0105</t>
  </si>
  <si>
    <t>TN0106</t>
  </si>
  <si>
    <t>TN0107</t>
  </si>
  <si>
    <t>TN0108</t>
  </si>
  <si>
    <t>TN0201</t>
  </si>
  <si>
    <t>TN0202</t>
  </si>
  <si>
    <t>TN0203</t>
  </si>
  <si>
    <t>TN0204</t>
  </si>
  <si>
    <t>TN0205</t>
  </si>
  <si>
    <t>TN0206</t>
  </si>
  <si>
    <t>TN0207</t>
  </si>
  <si>
    <t>TN0208</t>
  </si>
  <si>
    <t>TN0209</t>
  </si>
  <si>
    <t>TN0210</t>
  </si>
  <si>
    <t>TN0211</t>
  </si>
  <si>
    <t>TN0212</t>
  </si>
  <si>
    <t>TN0301</t>
  </si>
  <si>
    <t>TN0302</t>
  </si>
  <si>
    <t>TN0303</t>
  </si>
  <si>
    <t>TN0304</t>
  </si>
  <si>
    <t>TN0305</t>
  </si>
  <si>
    <t>TN0306</t>
  </si>
  <si>
    <t>TN0307</t>
  </si>
  <si>
    <t>TN0308</t>
  </si>
  <si>
    <t>TN0309</t>
  </si>
  <si>
    <t>Nhân viên phụ trách</t>
  </si>
  <si>
    <t>NV012</t>
  </si>
  <si>
    <t>NV009</t>
  </si>
  <si>
    <t>NV020</t>
  </si>
  <si>
    <t>NV008</t>
  </si>
  <si>
    <t>NV001</t>
  </si>
  <si>
    <t>NV005</t>
  </si>
  <si>
    <t>NV006</t>
  </si>
  <si>
    <t>NV015</t>
  </si>
  <si>
    <t>NV013</t>
  </si>
  <si>
    <t>NV017</t>
  </si>
  <si>
    <t>NV014</t>
  </si>
  <si>
    <t>NV018</t>
  </si>
  <si>
    <t>NV019</t>
  </si>
  <si>
    <t>Trên trang tính "Tài khoản thường", Xóa hàng của bảng chứa tên tài khoản "123AN50". Không thay đổi bất kỳ nội dung nào bên ngoài bảng.</t>
  </si>
  <si>
    <t>Trên trang tính "Tài khoản thường", hoán đổi dữ liệu qua các trục trên biểu đồ "Số dư tài khoản thường".</t>
  </si>
  <si>
    <t>Cấu hình trang tính “Tháng 2” để in các ô A4:F16.</t>
  </si>
  <si>
    <t>No.</t>
  </si>
  <si>
    <t>Sheet</t>
  </si>
  <si>
    <t>Range</t>
  </si>
  <si>
    <t>col_num</t>
  </si>
  <si>
    <t>formula</t>
  </si>
  <si>
    <t>Average</t>
  </si>
  <si>
    <t>Concatenate</t>
  </si>
  <si>
    <t>A11:B11</t>
  </si>
  <si>
    <t>B4:D9</t>
  </si>
  <si>
    <t>C4:C10</t>
  </si>
  <si>
    <t>A4:A11</t>
  </si>
  <si>
    <t>C4:C13</t>
  </si>
  <si>
    <t>Chart</t>
  </si>
  <si>
    <t>name</t>
  </si>
  <si>
    <t>Trên trang tính “Tháng 1”, lọc dữ liệu cho bảng để chỉ hiển thị những nội dung có "Chiết khấu" là "Yes"</t>
  </si>
  <si>
    <t>Đề bài</t>
  </si>
  <si>
    <t>TNT School</t>
  </si>
  <si>
    <t>Tiêu chí</t>
  </si>
  <si>
    <t>Tiêu đề</t>
  </si>
  <si>
    <t>ô</t>
  </si>
  <si>
    <t>Font size</t>
  </si>
  <si>
    <t>ThemeColor</t>
  </si>
  <si>
    <t>Thuộc tính</t>
  </si>
  <si>
    <t>Row Height</t>
  </si>
  <si>
    <t>Column Width</t>
  </si>
  <si>
    <t>Môn học</t>
  </si>
  <si>
    <t>Mã</t>
  </si>
  <si>
    <t>Năm</t>
  </si>
  <si>
    <t>Học kỳ</t>
  </si>
  <si>
    <t>Hình thức thi</t>
  </si>
  <si>
    <t>Ngày thi</t>
  </si>
  <si>
    <t>Bắt đầu</t>
  </si>
  <si>
    <t>Kết thúc</t>
  </si>
  <si>
    <t>Thời lượng</t>
  </si>
  <si>
    <t>Học sinh</t>
  </si>
  <si>
    <t>Giữa HK 1</t>
  </si>
  <si>
    <t>Cuối HK 1</t>
  </si>
  <si>
    <t>Giữa HK 2</t>
  </si>
  <si>
    <t>Cuối HK 2</t>
  </si>
  <si>
    <t>Số giờ học các ngày trong tuần</t>
  </si>
  <si>
    <t>Ngày</t>
  </si>
  <si>
    <t>Giờ học</t>
  </si>
  <si>
    <t>Thứ hai</t>
  </si>
  <si>
    <t>Thứ ba</t>
  </si>
  <si>
    <t>Thứ tư</t>
  </si>
  <si>
    <t>Thứ năm</t>
  </si>
  <si>
    <t>Thứ sáu</t>
  </si>
  <si>
    <t>Kỳ trước</t>
  </si>
  <si>
    <t>Kỳ này</t>
  </si>
  <si>
    <t>Kỳ sau</t>
  </si>
  <si>
    <t>Ghi chú</t>
  </si>
  <si>
    <t>Trắc nghiệm</t>
  </si>
  <si>
    <t>Vấn đáp</t>
  </si>
  <si>
    <t>Thuyết trình</t>
  </si>
  <si>
    <t>Tiểu luận</t>
  </si>
  <si>
    <t>Tiếng Anh</t>
  </si>
  <si>
    <t>Toán cao cấp</t>
  </si>
  <si>
    <t>Quản trị nhân sự</t>
  </si>
  <si>
    <t>MOS PowerPoint</t>
  </si>
  <si>
    <t>Triết học</t>
  </si>
  <si>
    <t>TC100</t>
  </si>
  <si>
    <t>TA101</t>
  </si>
  <si>
    <t>MOS Excel</t>
  </si>
  <si>
    <t>Thực hành</t>
  </si>
  <si>
    <t>EX102</t>
  </si>
  <si>
    <t>QT103</t>
  </si>
  <si>
    <t>PP104</t>
  </si>
  <si>
    <t>TH105</t>
  </si>
  <si>
    <t>Công ty TNHH TNT</t>
  </si>
  <si>
    <t>Báo cáo bán hàng</t>
  </si>
  <si>
    <t>Khu vực</t>
  </si>
  <si>
    <t>Sản phẩm</t>
  </si>
  <si>
    <t>Mã sản phẩm</t>
  </si>
  <si>
    <t>Doanh thu</t>
  </si>
  <si>
    <t>Thuế GTGT</t>
  </si>
  <si>
    <t>=[@[Doanh thu]]*10%</t>
  </si>
  <si>
    <t>Danh sách khách hàng</t>
  </si>
  <si>
    <t xml:space="preserve">Doanh thu lớn nhất: </t>
  </si>
  <si>
    <t>Ngày bắt đầu</t>
  </si>
  <si>
    <t>Hà Nội</t>
  </si>
  <si>
    <t>TP HCM</t>
  </si>
  <si>
    <t>Đà Nẵng</t>
  </si>
  <si>
    <t>Sản phẩm A</t>
  </si>
  <si>
    <t>Sản phẩm B</t>
  </si>
  <si>
    <t>Sản phẩm C</t>
  </si>
  <si>
    <t>Sản phẩm D</t>
  </si>
  <si>
    <t>Sản phẩm E</t>
  </si>
  <si>
    <t>Sản phẩm F</t>
  </si>
  <si>
    <t>A01</t>
  </si>
  <si>
    <t>B01</t>
  </si>
  <si>
    <t>C01</t>
  </si>
  <si>
    <t>D01</t>
  </si>
  <si>
    <t>E01</t>
  </si>
  <si>
    <t>F01</t>
  </si>
  <si>
    <t>Mã khách hàng</t>
  </si>
  <si>
    <t>KH241</t>
  </si>
  <si>
    <t>KH936</t>
  </si>
  <si>
    <t>KH868</t>
  </si>
  <si>
    <t>KH879</t>
  </si>
  <si>
    <t>KH436</t>
  </si>
  <si>
    <t>KH350</t>
  </si>
  <si>
    <t>KH686</t>
  </si>
  <si>
    <t>KH932</t>
  </si>
  <si>
    <t>KH694</t>
  </si>
  <si>
    <t>KH486</t>
  </si>
  <si>
    <t>KH912</t>
  </si>
  <si>
    <t>KH302</t>
  </si>
  <si>
    <t>KH402</t>
  </si>
  <si>
    <t>KH214</t>
  </si>
  <si>
    <t>KH791</t>
  </si>
  <si>
    <t>KH248</t>
  </si>
  <si>
    <t>KH186</t>
  </si>
  <si>
    <t>KH124</t>
  </si>
  <si>
    <t>KH788</t>
  </si>
  <si>
    <t>KH181</t>
  </si>
  <si>
    <t>KH882</t>
  </si>
  <si>
    <t>KH317</t>
  </si>
  <si>
    <t>KH407</t>
  </si>
  <si>
    <t>KH605</t>
  </si>
  <si>
    <t>KH805</t>
  </si>
  <si>
    <t>KH390</t>
  </si>
  <si>
    <t>KH433</t>
  </si>
  <si>
    <t>KH301</t>
  </si>
  <si>
    <t>KH377</t>
  </si>
  <si>
    <t>KH372</t>
  </si>
  <si>
    <t>KH729</t>
  </si>
  <si>
    <t>KH634</t>
  </si>
  <si>
    <t>KH397</t>
  </si>
  <si>
    <t>KH894</t>
  </si>
  <si>
    <t>KH132</t>
  </si>
  <si>
    <t>KH861</t>
  </si>
  <si>
    <t>KH753</t>
  </si>
  <si>
    <t>KH148</t>
  </si>
  <si>
    <t>KH511</t>
  </si>
  <si>
    <t>KH798</t>
  </si>
  <si>
    <t>KH385</t>
  </si>
  <si>
    <t>KH356</t>
  </si>
  <si>
    <t>KH392</t>
  </si>
  <si>
    <t>KH813</t>
  </si>
  <si>
    <t>KH212</t>
  </si>
  <si>
    <t>KH630</t>
  </si>
  <si>
    <t>KH573</t>
  </si>
  <si>
    <t>KH341</t>
  </si>
  <si>
    <t>KH165</t>
  </si>
  <si>
    <t>KH567</t>
  </si>
  <si>
    <t>KH887</t>
  </si>
  <si>
    <t>KH615</t>
  </si>
  <si>
    <t>KH224</t>
  </si>
  <si>
    <t>KH408</t>
  </si>
  <si>
    <t>KH266</t>
  </si>
  <si>
    <t>KH862</t>
  </si>
  <si>
    <t>KH613</t>
  </si>
  <si>
    <t>KH105</t>
  </si>
  <si>
    <t>Trên trang tính “Bán hàng” Mở rộng công thức trong ô E5 đến cột cuối bảng</t>
  </si>
  <si>
    <t>Xóa tất cả các quy tắc định dạng có điều kiện khỏi trang tính “Bán hàng”.</t>
  </si>
  <si>
    <t>Trên trang tính “Khách hàng”, Thực hiện sắp xếp nhiều cấp. Sắp xếp dữ liệu bảng theo “Khu vực” (A to Z) sau đó “Mã khách hàng” (A to Z).</t>
  </si>
  <si>
    <t>Trên trang tính “Khách hàng”, trong các ô D64, Sử dụng một hàm để hiển thị giá trị lớn nhất của cột “Doanh thu”.</t>
  </si>
  <si>
    <t>Khách hàng</t>
  </si>
  <si>
    <t>Bán hàng</t>
  </si>
  <si>
    <t>Trên trang tính “Khách hàng”, tạo biểu đồ cột (Clustered Column Chart) để hiển thị “Doanh thu” cho tất cả các Mã khách hàng, với các mã khách hàng làm nhãn trục ngang. Đặt biểu đồ bên dưới bảng. Kích thước và vị trí chính xác của biểu đồ không quan trọng.</t>
  </si>
  <si>
    <t>Lịch thi</t>
  </si>
  <si>
    <t>Thời gian thi</t>
  </si>
  <si>
    <t>Tổng kết</t>
  </si>
  <si>
    <t>Tồn kho</t>
  </si>
  <si>
    <t>Trên trang tính “Giờ học”, Điều chỉnh chiều rộng của cột B:G chính xác là 12.</t>
  </si>
  <si>
    <t>Trên trang tính “Học sinh”, Bắt đầu từ ô A1, nhập dữ liệu từ tệp văn bản có tên "hoc_sinh" trong thư mục tài liệu. Sử dụng hàng đầu tiên của nguồn dữ liệu làm tiêu đề.</t>
  </si>
  <si>
    <t>Trên trang tính “Thời gian thi”, trong các ô I4:I9, Chèn biểu đồ Sparklines dạng cột tại vùng I4:I9 để so sánh các giá trị học kỳ trước, hiện tại và học kỳ tiếp theo cho mỗi giai đoạn học tập.</t>
  </si>
  <si>
    <t>Trên trang tính “Lịch thi”, chuyển đổi bảng thành vùng dữ liệu. Giữ nguyên định dạng.</t>
  </si>
  <si>
    <t>Từ trang tính “Tổng kết”, di chuyển biểu đồ đến trang tính mới có tên “Biểu đồ tổng kết”.</t>
  </si>
  <si>
    <t>Trên trang tính “Sản phẩm”, Áp dụng phong cách White, Table Style Medium 1 cho bảng.</t>
  </si>
  <si>
    <t>Số lượng</t>
  </si>
  <si>
    <t>Hàng tồn kho</t>
  </si>
  <si>
    <t>Sản phẩm nhập kho</t>
  </si>
  <si>
    <t>Ngày nhập</t>
  </si>
  <si>
    <t>Tên sản phẩm</t>
  </si>
  <si>
    <t>Đơn giá</t>
  </si>
  <si>
    <t>Thành tiền</t>
  </si>
  <si>
    <t>Máy giặt</t>
  </si>
  <si>
    <t>Điều hòa</t>
  </si>
  <si>
    <t>Quạt cây</t>
  </si>
  <si>
    <t>Lò vi sóng</t>
  </si>
  <si>
    <t>Tên kho</t>
  </si>
  <si>
    <t>Hải Phòng</t>
  </si>
  <si>
    <t>Trên trang tính “Sản phẩm”, đóng băng hàng từ 1 đến 3 để dòng tiêu đề của bảng luôn hiển thị trong khi cuộn dọc.</t>
  </si>
  <si>
    <t>Trên trang tính “Sản phẩm”, sử dụng định dạng có điều kiện để áp dụng 'Orange Data Bar' (Gradient Fill) cho các giá trị trong cột “Số lượng”.</t>
  </si>
  <si>
    <t>Trên trang tính “Sản phẩm” worksheet, trong cột “Thuế GTGT”, Nhập một công thức nhân giá trị trong cột “Thành tiền” với vùng dữ liệu được đặt tên “Thue_Suat”. Sử dụng tên phạm vi trong công thức thay vì tham chiếu ô hoặc giá trị.</t>
  </si>
  <si>
    <t>Trên trang tính “Tồn kho”, áp dụng màu sắc Colorful Palette 3 cho biểu đồ.</t>
  </si>
  <si>
    <t>Sheet23</t>
  </si>
  <si>
    <t>Sheet24</t>
  </si>
  <si>
    <t>Sheet25</t>
  </si>
  <si>
    <t>Sheet26</t>
  </si>
  <si>
    <t>Sheet27</t>
  </si>
  <si>
    <t>Sheet28</t>
  </si>
  <si>
    <t>Sheet29</t>
  </si>
  <si>
    <t>Sheet30</t>
  </si>
  <si>
    <t>Sheet31</t>
  </si>
  <si>
    <t>Sheet32</t>
  </si>
  <si>
    <t>Sheet33</t>
  </si>
  <si>
    <t>Sheet34</t>
  </si>
  <si>
    <t>Trên trang tính “Bán hàng”, hiển thị bảng dữ liệu có kèm theo khóa chú giải (with legend keys), cho biểu đồ "Doanh thu theo các mã sản phẩm".</t>
  </si>
  <si>
    <t>N='Tỷ giá'!$A$11:$B$11</t>
  </si>
  <si>
    <t>Lam@gmail.com</t>
  </si>
  <si>
    <t>Mai@gmail.com</t>
  </si>
  <si>
    <t>Tung@gmail.com</t>
  </si>
  <si>
    <t>Hoa@gmail.com</t>
  </si>
  <si>
    <t>Binh@gmail.com</t>
  </si>
  <si>
    <t>Tuan@gmail.com</t>
  </si>
  <si>
    <t>Minh@gmail.com</t>
  </si>
  <si>
    <t>Trung@gmail.com</t>
  </si>
  <si>
    <t>Hieu@gmail.com</t>
  </si>
  <si>
    <t>Hai@gmail.com</t>
  </si>
  <si>
    <t>STT dòng</t>
  </si>
  <si>
    <t>Project Selected</t>
  </si>
  <si>
    <t>Điều hướng đến vùng có tên "Ngay_CapNhat" và xóa nội dung của các ô đã chọn.</t>
  </si>
  <si>
    <t>Trên trang tính "Tài khoản VIP", trong cột "Trung bình tháng", sử dụng hàm để tính trung bình số dư hàng tháng cho mỗi tài khoản từ tháng 1 đến tháng 4.</t>
  </si>
  <si>
    <t>Project reset</t>
  </si>
  <si>
    <t>$A$4:$F$16</t>
  </si>
  <si>
    <t>A=SUM</t>
  </si>
  <si>
    <t>A=Total</t>
  </si>
  <si>
    <t>Total1</t>
  </si>
  <si>
    <t>Total2</t>
  </si>
  <si>
    <t>Total3</t>
  </si>
  <si>
    <t>Có chứa</t>
  </si>
  <si>
    <t>Nguyen Van</t>
  </si>
  <si>
    <t>Hung</t>
  </si>
  <si>
    <t>Nam</t>
  </si>
  <si>
    <t>10A1</t>
  </si>
  <si>
    <t>Tran Thi</t>
  </si>
  <si>
    <t>Nu</t>
  </si>
  <si>
    <t>10A2</t>
  </si>
  <si>
    <t>Ngo Van</t>
  </si>
  <si>
    <t>Quang</t>
  </si>
  <si>
    <t>Le Phuong</t>
  </si>
  <si>
    <t>Nhi</t>
  </si>
  <si>
    <t>Dang Thi</t>
  </si>
  <si>
    <t>Hoai</t>
  </si>
  <si>
    <t>10A3</t>
  </si>
  <si>
    <t>Nguyen Thu</t>
  </si>
  <si>
    <t>Thao</t>
  </si>
  <si>
    <t>Tran Van</t>
  </si>
  <si>
    <t>Ngo Minh</t>
  </si>
  <si>
    <t>Trên trang tính “Giờ học”, sửa đổi biểu đồ để hiển thị “Hours”  làm tiêu đề trục dọc chính (Primary Vertical Axis Title).</t>
  </si>
  <si>
    <t>hoc_sinh</t>
  </si>
  <si>
    <t>Biểu đồ tổng kết</t>
  </si>
  <si>
    <t>A=[@[Doanh thu]]*10%</t>
  </si>
  <si>
    <t>A=MAX</t>
  </si>
  <si>
    <t>$E$4:$E$18</t>
  </si>
  <si>
    <t>Databar</t>
  </si>
  <si>
    <t>A=[@[Thành tiền]]*Thue_Suat</t>
  </si>
  <si>
    <t>A=Thue_Suat*[@[Thành tiền]]</t>
  </si>
  <si>
    <t>Chủ đề: Bạn đang cập nhật dữ liệu gia hạn hợp đồng bảo hiểm xe ô tô cho tháng hiện tại</t>
  </si>
  <si>
    <t>Chủ đề: Bạn làm việc cho Ngân hàng 123. Bạn đang chuẩn bị thông tin cho một cuộc họp.</t>
  </si>
  <si>
    <t>Chủ đề: Bạn đang hoàn thành bảng tính điểm kiểm tra giữa kỳ tại trường THPT XYZ</t>
  </si>
  <si>
    <t>Chủ đề: Bạn đang biên soạn dữ liệu lớp học để trình bày cho giám đốc tuyển sinh tại TNT School.</t>
  </si>
  <si>
    <t>Chủ đề: Bạn đang chuẩn bị dữ liệu bán hàng cho công ty TNT</t>
  </si>
  <si>
    <r>
      <t xml:space="preserve">TRẢI NGHIỆM - </t>
    </r>
    <r>
      <rPr>
        <b/>
        <sz val="20"/>
        <color theme="5"/>
        <rFont val="Times New Roman"/>
        <family val="1"/>
      </rPr>
      <t>PROJECT A</t>
    </r>
  </si>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</sst>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quot;$&quot;#,##0.00_);\(&quot;$&quot;#,##0.00\)"/>
    <numFmt numFmtId="165" formatCode="_(&quot;$&quot;* #,##0.00_);_(&quot;$&quot;* \(#,##0.00\);_(&quot;$&quot;* &quot;-&quot;??_);_(@_)"/>
    <numFmt numFmtId="166" formatCode="_(* #,##0.00_);_(* \(#,##0.00\);_(* &quot;-&quot;??_);_(@_)"/>
    <numFmt numFmtId="167" formatCode="[$-409]d\-mmm\-yy;@"/>
    <numFmt numFmtId="168" formatCode="#,##0.0"/>
    <numFmt numFmtId="169" formatCode="_(&quot;$&quot;* #,##0_);_(&quot;$&quot;* \(#,##0\);_(&quot;$&quot;* &quot;-&quot;??_);_(@_)"/>
    <numFmt numFmtId="170" formatCode="dd/mm/yyyy\ h:mm:ss"/>
    <numFmt numFmtId="171" formatCode="_(* #,##0.0_);_(* \(#,##0.0\);_(* &quot;-&quot;?_);_(@_)"/>
    <numFmt numFmtId="172" formatCode="[$-409]d\-mmm;@"/>
    <numFmt numFmtId="173" formatCode="[$-409]h:mm\ AM/PM;@"/>
    <numFmt numFmtId="174" formatCode="h:mm;@"/>
    <numFmt numFmtId="175" formatCode="_(* #,##0_);_(* \(#,##0\);_(* &quot;-&quot;??_);_(@_)"/>
  </numFmts>
  <fonts count="9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8"/>
      <color theme="4" tint="-0.499984740745262"/>
      <name val="Calibri"/>
      <family val="2"/>
      <scheme val="minor"/>
    </font>
    <font>
      <b/>
      <sz val="14"/>
      <color theme="2" tint="-0.499984740745262"/>
      <name val="Calibri"/>
      <family val="2"/>
      <scheme val="minor"/>
    </font>
    <font>
      <i/>
      <sz val="11"/>
      <color theme="1"/>
      <name val="Calibri"/>
      <family val="2"/>
      <scheme val="minor"/>
    </font>
    <font>
      <sz val="8"/>
      <name val="Calibri"/>
      <family val="2"/>
      <scheme val="minor"/>
    </font>
    <font>
      <b/>
      <sz val="14"/>
      <color theme="1"/>
      <name val="Times New Roman"/>
      <family val="1"/>
    </font>
    <font>
      <sz val="14"/>
      <color theme="1"/>
      <name val="Times New Roman"/>
      <family val="2"/>
    </font>
    <font>
      <i/>
      <sz val="16"/>
      <color theme="1" tint="0.34998626667073579"/>
      <name val="Times New Roman"/>
      <family val="1"/>
    </font>
    <font>
      <b/>
      <i/>
      <sz val="16"/>
      <color theme="1" tint="0.34998626667073579"/>
      <name val="Times New Roman"/>
      <family val="1"/>
    </font>
    <font>
      <sz val="16"/>
      <color rgb="FF184D97"/>
      <name val="Times New Roman"/>
      <family val="2"/>
    </font>
    <font>
      <sz val="16"/>
      <color theme="1"/>
      <name val="Times New Roman"/>
      <family val="2"/>
    </font>
    <font>
      <b/>
      <sz val="12"/>
      <color theme="1"/>
      <name val="Times New Roman"/>
      <family val="1"/>
    </font>
    <font>
      <sz val="11"/>
      <color theme="1"/>
      <name val="Times New Roman"/>
      <family val="1"/>
    </font>
    <font>
      <sz val="11"/>
      <color theme="0"/>
      <name val="Times New Roman"/>
      <family val="1"/>
    </font>
    <font>
      <sz val="12"/>
      <color theme="0"/>
      <name val="Times New Roman"/>
      <family val="1"/>
    </font>
    <font>
      <i/>
      <sz val="14"/>
      <color theme="1"/>
      <name val="Times New Roman"/>
      <family val="1"/>
    </font>
    <font>
      <b/>
      <sz val="16"/>
      <color rgb="FF184D97"/>
      <name val="Times New Roman"/>
      <family val="2"/>
    </font>
    <font>
      <b/>
      <sz val="16"/>
      <color rgb="FFFF0000"/>
      <name val="Times New Roman"/>
      <family val="2"/>
    </font>
    <font>
      <b/>
      <sz val="16"/>
      <color theme="1"/>
      <name val="Times New Roman"/>
      <family val="2"/>
    </font>
    <font>
      <b/>
      <sz val="14"/>
      <color theme="1"/>
      <name val="Times New Roman"/>
      <family val="2"/>
    </font>
    <font>
      <b/>
      <sz val="24"/>
      <color rgb="FF184D97"/>
      <name val="Times New Roman"/>
      <family val="1"/>
    </font>
    <font>
      <b/>
      <sz val="20"/>
      <color rgb="FF184D97"/>
      <name val="Times New Roman"/>
      <family val="1"/>
    </font>
    <font>
      <b/>
      <sz val="20"/>
      <color theme="4"/>
      <name val="Calibri"/>
      <family val="2"/>
      <scheme val="minor"/>
    </font>
    <font>
      <b/>
      <sz val="13"/>
      <color theme="3"/>
      <name val="Times New Roman"/>
      <family val="1"/>
    </font>
    <font>
      <b/>
      <sz val="12"/>
      <color theme="3"/>
      <name val="Times New Roman"/>
      <family val="1"/>
    </font>
    <font>
      <sz val="14"/>
      <color theme="1"/>
      <name val="Times New Roman"/>
      <family val="1"/>
    </font>
    <font>
      <sz val="26"/>
      <color theme="1"/>
      <name val="Ebrima"/>
    </font>
    <font>
      <sz val="11"/>
      <color theme="1"/>
      <name val="Ebrima"/>
    </font>
    <font>
      <b/>
      <i/>
      <sz val="14"/>
      <color theme="8" tint="-0.249977111117893"/>
      <name val="Ebrima"/>
    </font>
    <font>
      <sz val="26"/>
      <color theme="1"/>
      <name val="Calibri"/>
      <family val="2"/>
      <scheme val="minor"/>
    </font>
    <font>
      <b/>
      <i/>
      <sz val="14"/>
      <color theme="8" tint="-0.249977111117893"/>
      <name val="Calibri"/>
      <family val="2"/>
      <scheme val="minor"/>
    </font>
    <font>
      <sz val="10"/>
      <color indexed="8"/>
      <name val="Arial"/>
      <family val="2"/>
    </font>
    <font>
      <b/>
      <sz val="11"/>
      <color theme="1"/>
      <name val="Times New Roman"/>
      <family val="1"/>
    </font>
    <font>
      <b/>
      <sz val="14"/>
      <color theme="1"/>
      <name val="Calibri"/>
      <family val="2"/>
      <scheme val="minor"/>
    </font>
    <font>
      <b/>
      <sz val="20"/>
      <color rgb="FF0070C0"/>
      <name val="Century Gothic"/>
      <family val="2"/>
    </font>
    <font>
      <sz val="11"/>
      <color theme="1"/>
      <name val="Century Gothic"/>
      <family val="2"/>
    </font>
    <font>
      <b/>
      <i/>
      <sz val="11"/>
      <color rgb="FF0070C0"/>
      <name val="Century Gothic"/>
      <family val="2"/>
    </font>
    <font>
      <b/>
      <sz val="11"/>
      <color theme="1"/>
      <name val="Century Gothic"/>
      <family val="2"/>
    </font>
    <font>
      <b/>
      <sz val="11"/>
      <color rgb="FF0070C0"/>
      <name val="Century Gothic"/>
      <family val="2"/>
    </font>
    <font>
      <b/>
      <sz val="16"/>
      <color theme="0"/>
      <name val="Century Gothic"/>
      <family val="2"/>
    </font>
    <font>
      <b/>
      <sz val="11"/>
      <color theme="0"/>
      <name val="Century Gothic"/>
      <family val="2"/>
    </font>
    <font>
      <b/>
      <sz val="16"/>
      <color theme="7" tint="-0.499984740745262"/>
      <name val="Calibri"/>
      <family val="2"/>
      <scheme val="minor"/>
    </font>
    <font>
      <b/>
      <i/>
      <sz val="12"/>
      <color theme="1" tint="0.34998626667073579"/>
      <name val="Calibri"/>
      <family val="2"/>
      <scheme val="minor"/>
    </font>
    <font>
      <b/>
      <sz val="16"/>
      <color rgb="FFD14D4D"/>
      <name val="Calibri"/>
      <family val="2"/>
      <scheme val="minor"/>
    </font>
    <font>
      <b/>
      <sz val="14"/>
      <color theme="4" tint="-0.499984740745262"/>
      <name val="Calibri"/>
      <family val="2"/>
      <scheme val="minor"/>
    </font>
    <font>
      <sz val="18"/>
      <color theme="5" tint="-0.249977111117893"/>
      <name val="Arial Black"/>
      <family val="2"/>
    </font>
    <font>
      <b/>
      <sz val="11"/>
      <color theme="5" tint="-0.249977111117893"/>
      <name val="Calibri"/>
      <family val="2"/>
      <scheme val="minor"/>
    </font>
    <font>
      <sz val="10"/>
      <color theme="1" tint="0.14999847407452621"/>
      <name val="Calibri"/>
      <family val="2"/>
      <scheme val="minor"/>
    </font>
    <font>
      <sz val="11"/>
      <color theme="5" tint="-0.249977111117893"/>
      <name val="Calibri"/>
      <family val="2"/>
      <scheme val="minor"/>
    </font>
    <font>
      <b/>
      <sz val="18"/>
      <color theme="9" tint="-0.249977111117893"/>
      <name val="Calibri"/>
      <family val="2"/>
      <scheme val="minor"/>
    </font>
    <font>
      <b/>
      <sz val="11"/>
      <color rgb="FFFFFFFF"/>
      <name val="Calibri"/>
      <family val="2"/>
      <scheme val="minor"/>
    </font>
    <font>
      <b/>
      <sz val="12"/>
      <color theme="9" tint="-0.249977111117893"/>
      <name val="Calibri"/>
      <family val="2"/>
      <scheme val="minor"/>
    </font>
    <font>
      <b/>
      <i/>
      <sz val="18"/>
      <color theme="1"/>
      <name val="Calibri"/>
      <family val="2"/>
      <scheme val="minor"/>
    </font>
    <font>
      <b/>
      <sz val="14"/>
      <color theme="8"/>
      <name val="Calibri"/>
      <family val="2"/>
      <scheme val="minor"/>
    </font>
    <font>
      <sz val="26"/>
      <color theme="8" tint="-0.499984740745262"/>
      <name val="Calibri"/>
      <family val="2"/>
      <scheme val="minor"/>
    </font>
    <font>
      <b/>
      <sz val="14"/>
      <color rgb="FF00B050"/>
      <name val="Calibri"/>
      <family val="2"/>
      <scheme val="minor"/>
    </font>
    <font>
      <sz val="14"/>
      <color theme="0"/>
      <name val="Times New Roman"/>
      <family val="1"/>
    </font>
    <font>
      <b/>
      <sz val="20"/>
      <color theme="4"/>
      <name val="Times New Roman"/>
      <family val="1"/>
    </font>
    <font>
      <sz val="12"/>
      <color theme="1"/>
      <name val="Times New Roman"/>
      <family val="1"/>
    </font>
    <font>
      <sz val="14"/>
      <name val="Times New Roman"/>
      <family val="1"/>
    </font>
    <font>
      <sz val="11"/>
      <color rgb="FFFF0000"/>
      <name val="Times New Roman"/>
      <family val="1"/>
    </font>
    <font>
      <b/>
      <sz val="16"/>
      <color theme="1"/>
      <name val="Times New Roman"/>
      <family val="1"/>
    </font>
    <font>
      <sz val="11"/>
      <color theme="3"/>
      <name val="Times New Roman"/>
      <family val="1"/>
    </font>
    <font>
      <b/>
      <sz val="11"/>
      <color theme="0"/>
      <name val="Ebrima"/>
    </font>
    <font>
      <b/>
      <sz val="14"/>
      <color theme="9"/>
      <name val="Times New Roman"/>
      <family val="1"/>
    </font>
    <font>
      <b/>
      <sz val="11"/>
      <color theme="3"/>
      <name val="Times New Roman"/>
      <family val="1"/>
    </font>
    <font>
      <b/>
      <sz val="11"/>
      <color rgb="FFFF0000"/>
      <name val="Times New Roman"/>
      <family val="1"/>
    </font>
    <font>
      <b/>
      <sz val="12"/>
      <color theme="4"/>
      <name val="Calibri"/>
      <family val="2"/>
      <scheme val="minor"/>
    </font>
    <font>
      <b/>
      <sz val="12"/>
      <color rgb="FFFF0000"/>
      <name val="Calibri"/>
      <family val="2"/>
      <scheme val="minor"/>
    </font>
    <font>
      <b/>
      <sz val="14"/>
      <color theme="0"/>
      <name val="Times New Roman"/>
      <family val="1"/>
    </font>
    <font>
      <b/>
      <sz val="14"/>
      <color rgb="FFFF0000"/>
      <name val="Times New Roman"/>
      <family val="1"/>
    </font>
    <font>
      <b/>
      <sz val="20"/>
      <color theme="5"/>
      <name val="Times New Roman"/>
      <family val="1"/>
    </font>
  </fonts>
  <fills count="6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8"/>
        <bgColor indexed="64"/>
      </patternFill>
    </fill>
    <fill>
      <patternFill patternType="solid">
        <fgColor theme="0"/>
        <bgColor indexed="64"/>
      </patternFill>
    </fill>
    <fill>
      <patternFill patternType="solid">
        <fgColor theme="5" tint="0.79998168889431442"/>
        <bgColor indexed="64"/>
      </patternFill>
    </fill>
    <fill>
      <patternFill patternType="solid">
        <fgColor rgb="FFFFFF00"/>
        <bgColor indexed="64"/>
      </patternFill>
    </fill>
    <fill>
      <patternFill patternType="solid">
        <fgColor theme="8" tint="0.59999389629810485"/>
        <bgColor indexed="64"/>
      </patternFill>
    </fill>
    <fill>
      <patternFill patternType="solid">
        <fgColor theme="9"/>
        <bgColor indexed="64"/>
      </patternFill>
    </fill>
    <fill>
      <patternFill patternType="solid">
        <fgColor theme="0" tint="-4.9989318521683403E-2"/>
        <bgColor indexed="64"/>
      </patternFill>
    </fill>
    <fill>
      <patternFill patternType="solid">
        <fgColor theme="4" tint="-0.249977111117893"/>
        <bgColor theme="5"/>
      </patternFill>
    </fill>
    <fill>
      <patternFill patternType="solid">
        <fgColor theme="4" tint="-0.249977111117893"/>
        <bgColor indexed="64"/>
      </patternFill>
    </fill>
    <fill>
      <patternFill patternType="solid">
        <fgColor theme="5" tint="-0.249977111117893"/>
        <bgColor indexed="64"/>
      </patternFill>
    </fill>
    <fill>
      <patternFill patternType="solid">
        <fgColor rgb="FF70AD47"/>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7"/>
        <bgColor theme="7"/>
      </patternFill>
    </fill>
    <fill>
      <patternFill patternType="solid">
        <fgColor theme="9"/>
        <bgColor theme="9"/>
      </patternFill>
    </fill>
    <fill>
      <patternFill patternType="solid">
        <fgColor theme="5" tint="0.79998168889431442"/>
        <bgColor theme="5" tint="0.79998168889431442"/>
      </patternFill>
    </fill>
    <fill>
      <patternFill patternType="solid">
        <fgColor theme="4"/>
        <bgColor theme="4"/>
      </patternFill>
    </fill>
    <fill>
      <patternFill patternType="solid">
        <fgColor theme="4" tint="0.79998168889431442"/>
        <bgColor theme="4" tint="0.79998168889431442"/>
      </patternFill>
    </fill>
    <fill>
      <patternFill patternType="solid">
        <fgColor theme="8"/>
        <bgColor theme="8"/>
      </patternFill>
    </fill>
    <fill>
      <patternFill patternType="solid">
        <fgColor theme="1"/>
        <bgColor theme="1"/>
      </patternFill>
    </fill>
    <fill>
      <patternFill patternType="solid">
        <fgColor theme="6"/>
        <bgColor theme="6"/>
      </patternFill>
    </fill>
    <fill>
      <patternFill patternType="solid">
        <fgColor theme="8" tint="0.79998168889431442"/>
        <bgColor indexed="64"/>
      </patternFill>
    </fill>
    <fill>
      <patternFill patternType="solid">
        <fgColor theme="5"/>
        <bgColor theme="5"/>
      </patternFill>
    </fill>
  </fills>
  <borders count="9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184D97"/>
      </left>
      <right style="thick">
        <color rgb="FF184D97"/>
      </right>
      <top style="thin">
        <color rgb="FF184D97"/>
      </top>
      <bottom style="thick">
        <color rgb="FF184D97"/>
      </bottom>
      <diagonal/>
    </border>
    <border>
      <left/>
      <right/>
      <top style="thick">
        <color theme="4" tint="0.499984740745262"/>
      </top>
      <bottom style="thin">
        <color theme="4" tint="0.499984740745262"/>
      </bottom>
      <diagonal/>
    </border>
    <border>
      <left/>
      <right/>
      <top style="thin">
        <color theme="4" tint="0.499984740745262"/>
      </top>
      <bottom style="thin">
        <color theme="4" tint="0.499984740745262"/>
      </bottom>
      <diagonal/>
    </border>
    <border>
      <left/>
      <right/>
      <top style="thin">
        <color theme="4" tint="0.499984740745262"/>
      </top>
      <bottom/>
      <diagonal/>
    </border>
    <border>
      <left/>
      <right/>
      <top/>
      <bottom style="thin">
        <color theme="4"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ck">
        <color theme="0" tint="-0.499984740745262"/>
      </right>
      <top style="thin">
        <color theme="0" tint="-0.499984740745262"/>
      </top>
      <bottom/>
      <diagonal/>
    </border>
    <border>
      <left style="thin">
        <color theme="0" tint="-0.499984740745262"/>
      </left>
      <right/>
      <top/>
      <bottom/>
      <diagonal/>
    </border>
    <border>
      <left/>
      <right style="thick">
        <color theme="0" tint="-0.499984740745262"/>
      </right>
      <top/>
      <bottom/>
      <diagonal/>
    </border>
    <border>
      <left style="thin">
        <color rgb="FF184D97"/>
      </left>
      <right/>
      <top style="thin">
        <color rgb="FF184D97"/>
      </top>
      <bottom style="thick">
        <color rgb="FF184D97"/>
      </bottom>
      <diagonal/>
    </border>
    <border>
      <left/>
      <right/>
      <top style="thin">
        <color rgb="FF184D97"/>
      </top>
      <bottom style="thick">
        <color rgb="FF184D97"/>
      </bottom>
      <diagonal/>
    </border>
    <border>
      <left/>
      <right style="thick">
        <color rgb="FF184D97"/>
      </right>
      <top style="thin">
        <color rgb="FF184D97"/>
      </top>
      <bottom style="thick">
        <color rgb="FF184D97"/>
      </bottom>
      <diagonal/>
    </border>
    <border>
      <left style="thin">
        <color theme="0" tint="-0.499984740745262"/>
      </left>
      <right/>
      <top/>
      <bottom style="thick">
        <color theme="0" tint="-0.499984740745262"/>
      </bottom>
      <diagonal/>
    </border>
    <border>
      <left/>
      <right/>
      <top/>
      <bottom style="thick">
        <color theme="0" tint="-0.499984740745262"/>
      </bottom>
      <diagonal/>
    </border>
    <border>
      <left/>
      <right style="thick">
        <color theme="0" tint="-0.499984740745262"/>
      </right>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double">
        <color rgb="FF184D97"/>
      </bottom>
      <diagonal/>
    </border>
    <border>
      <left/>
      <right/>
      <top/>
      <bottom style="thin">
        <color indexed="64"/>
      </bottom>
      <diagonal/>
    </border>
    <border>
      <left/>
      <right/>
      <top style="medium">
        <color auto="1"/>
      </top>
      <bottom/>
      <diagonal/>
    </border>
    <border>
      <left/>
      <right/>
      <top style="thin">
        <color theme="9"/>
      </top>
      <bottom/>
      <diagonal/>
    </border>
    <border>
      <left/>
      <right style="thin">
        <color theme="9"/>
      </right>
      <top style="thin">
        <color theme="9"/>
      </top>
      <bottom/>
      <diagonal/>
    </border>
    <border>
      <left/>
      <right/>
      <top style="thin">
        <color theme="1"/>
      </top>
      <bottom/>
      <diagonal/>
    </border>
    <border>
      <left/>
      <right/>
      <top style="thin">
        <color theme="0"/>
      </top>
      <bottom/>
      <diagonal/>
    </border>
    <border>
      <left/>
      <right/>
      <top style="thin">
        <color rgb="FFA9D08E"/>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theme="7"/>
      </left>
      <right/>
      <top style="thin">
        <color theme="7"/>
      </top>
      <bottom/>
      <diagonal/>
    </border>
    <border>
      <left/>
      <right style="thin">
        <color theme="7"/>
      </right>
      <top style="thin">
        <color theme="7"/>
      </top>
      <bottom/>
      <diagonal/>
    </border>
    <border>
      <left style="thin">
        <color theme="7"/>
      </left>
      <right/>
      <top style="thin">
        <color theme="7"/>
      </top>
      <bottom style="thin">
        <color theme="7"/>
      </bottom>
      <diagonal/>
    </border>
    <border>
      <left/>
      <right/>
      <top style="thin">
        <color theme="7"/>
      </top>
      <bottom/>
      <diagonal/>
    </border>
    <border>
      <left/>
      <right/>
      <top style="thin">
        <color theme="7"/>
      </top>
      <bottom style="thin">
        <color theme="7"/>
      </bottom>
      <diagonal/>
    </border>
    <border>
      <left style="thin">
        <color theme="9"/>
      </left>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bottom style="thin">
        <color theme="5"/>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style="thin">
        <color theme="5"/>
      </right>
      <top style="thin">
        <color theme="5"/>
      </top>
      <bottom/>
      <diagonal/>
    </border>
    <border>
      <left style="thin">
        <color theme="5"/>
      </left>
      <right/>
      <top style="thin">
        <color theme="5"/>
      </top>
      <bottom/>
      <diagonal/>
    </border>
    <border>
      <left style="thin">
        <color theme="5"/>
      </left>
      <right/>
      <top style="thin">
        <color theme="5"/>
      </top>
      <bottom style="thin">
        <color theme="5"/>
      </bottom>
      <diagonal/>
    </border>
    <border>
      <left/>
      <right style="thin">
        <color theme="5"/>
      </right>
      <top style="thin">
        <color theme="5"/>
      </top>
      <bottom style="thin">
        <color theme="5"/>
      </bottom>
      <diagonal/>
    </border>
    <border>
      <left style="thin">
        <color theme="8"/>
      </left>
      <right/>
      <top style="thin">
        <color theme="8"/>
      </top>
      <bottom/>
      <diagonal/>
    </border>
    <border>
      <left style="thin">
        <color theme="8"/>
      </left>
      <right/>
      <top style="thin">
        <color theme="8"/>
      </top>
      <bottom style="thin">
        <color theme="8"/>
      </bottom>
      <diagonal/>
    </border>
    <border>
      <left/>
      <right/>
      <top style="thin">
        <color theme="8"/>
      </top>
      <bottom/>
      <diagonal/>
    </border>
    <border>
      <left/>
      <right style="thin">
        <color theme="8"/>
      </right>
      <top style="thin">
        <color theme="8"/>
      </top>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1"/>
      </left>
      <right/>
      <top style="thin">
        <color theme="1"/>
      </top>
      <bottom/>
      <diagonal/>
    </border>
    <border>
      <left/>
      <right style="thin">
        <color theme="1"/>
      </right>
      <top style="thin">
        <color theme="1"/>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theme="6"/>
      </left>
      <right/>
      <top style="thin">
        <color theme="6"/>
      </top>
      <bottom style="thin">
        <color theme="6"/>
      </bottom>
      <diagonal/>
    </border>
    <border>
      <left/>
      <right/>
      <top style="thin">
        <color theme="6"/>
      </top>
      <bottom style="thin">
        <color theme="6"/>
      </bottom>
      <diagonal/>
    </border>
    <border>
      <left/>
      <right/>
      <top style="thin">
        <color theme="5"/>
      </top>
      <bottom/>
      <diagonal/>
    </border>
    <border>
      <left style="thin">
        <color theme="5"/>
      </left>
      <right/>
      <top/>
      <bottom/>
      <diagonal/>
    </border>
    <border>
      <left/>
      <right style="thin">
        <color theme="5"/>
      </right>
      <top/>
      <bottom/>
      <diagonal/>
    </border>
    <border>
      <left style="thin">
        <color theme="9"/>
      </left>
      <right/>
      <top style="thin">
        <color rgb="FFA9D08E"/>
      </top>
      <bottom/>
      <diagonal/>
    </border>
    <border>
      <left/>
      <right style="thin">
        <color theme="9"/>
      </right>
      <top style="thin">
        <color rgb="FFA9D08E"/>
      </top>
      <bottom/>
      <diagonal/>
    </border>
    <border>
      <left/>
      <right/>
      <top style="thin">
        <color theme="0" tint="-0.499984740745262"/>
      </top>
      <bottom style="double">
        <color theme="0" tint="-0.499984740745262"/>
      </bottom>
      <diagonal/>
    </border>
    <border>
      <left/>
      <right/>
      <top style="thin">
        <color theme="0" tint="-0.499984740745262"/>
      </top>
      <bottom style="thin">
        <color theme="0" tint="-0.499984740745262"/>
      </bottom>
      <diagonal/>
    </border>
    <border>
      <left/>
      <right/>
      <top/>
      <bottom style="hair">
        <color theme="0" tint="-0.499984740745262"/>
      </bottom>
      <diagonal/>
    </border>
    <border>
      <left/>
      <right/>
      <top style="hair">
        <color theme="0" tint="-0.499984740745262"/>
      </top>
      <bottom style="hair">
        <color theme="0" tint="-0.499984740745262"/>
      </bottom>
      <diagonal/>
    </border>
    <border>
      <left/>
      <right/>
      <top style="thin">
        <color indexed="64"/>
      </top>
      <bottom style="thin">
        <color theme="0" tint="-0.499984740745262"/>
      </bottom>
      <diagonal/>
    </border>
  </borders>
  <cellStyleXfs count="44">
    <xf numFmtId="0" fontId="0" fillId="0" borderId="0"/>
    <xf numFmtId="165"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166" fontId="1" fillId="0" borderId="0" applyFont="0" applyFill="0" applyBorder="0" applyAlignment="0" applyProtection="0"/>
  </cellStyleXfs>
  <cellXfs count="423">
    <xf numFmtId="0" fontId="0" fillId="0" borderId="0" xfId="0"/>
    <xf numFmtId="167" fontId="21" fillId="0" borderId="0" xfId="0" applyNumberFormat="1" applyFont="1"/>
    <xf numFmtId="0" fontId="21" fillId="0" borderId="0" xfId="0" applyFont="1"/>
    <xf numFmtId="0" fontId="20" fillId="0" borderId="0" xfId="0" applyFont="1" applyAlignment="1">
      <alignment horizontal="left"/>
    </xf>
    <xf numFmtId="0" fontId="23" fillId="0" borderId="10" xfId="0" applyFont="1" applyBorder="1" applyAlignment="1">
      <alignment horizontal="center" vertical="center"/>
    </xf>
    <xf numFmtId="0" fontId="0" fillId="33" borderId="0" xfId="0" applyFill="1"/>
    <xf numFmtId="0" fontId="29" fillId="0" borderId="0" xfId="0" applyFont="1"/>
    <xf numFmtId="0" fontId="30" fillId="0" borderId="0" xfId="0" applyFont="1"/>
    <xf numFmtId="0" fontId="32" fillId="9" borderId="26" xfId="19" applyFont="1" applyBorder="1" applyAlignment="1">
      <alignment horizontal="center"/>
    </xf>
    <xf numFmtId="0" fontId="30" fillId="0" borderId="26" xfId="0" applyFont="1" applyBorder="1"/>
    <xf numFmtId="0" fontId="30" fillId="34" borderId="26" xfId="0" applyFont="1" applyFill="1" applyBorder="1"/>
    <xf numFmtId="0" fontId="31" fillId="29" borderId="26" xfId="39" applyFont="1" applyBorder="1" applyAlignment="1">
      <alignment horizontal="center"/>
    </xf>
    <xf numFmtId="0" fontId="0" fillId="39" borderId="0" xfId="0" applyFill="1"/>
    <xf numFmtId="0" fontId="36" fillId="0" borderId="31" xfId="18" applyFont="1" applyBorder="1"/>
    <xf numFmtId="0" fontId="37" fillId="0" borderId="31" xfId="18" applyFont="1" applyBorder="1"/>
    <xf numFmtId="0" fontId="24" fillId="0" borderId="0" xfId="0" applyFont="1"/>
    <xf numFmtId="1" fontId="35" fillId="0" borderId="31" xfId="18" applyNumberFormat="1" applyFont="1" applyBorder="1" applyAlignment="1">
      <alignment horizontal="right"/>
    </xf>
    <xf numFmtId="0" fontId="31" fillId="13" borderId="26" xfId="23" applyFont="1" applyBorder="1" applyAlignment="1">
      <alignment horizontal="center"/>
    </xf>
    <xf numFmtId="0" fontId="0" fillId="33" borderId="0" xfId="0" applyFill="1" applyAlignment="1">
      <alignment horizontal="center"/>
    </xf>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33" borderId="0" xfId="0" applyFill="1" applyAlignment="1">
      <alignment vertical="center"/>
    </xf>
    <xf numFmtId="0" fontId="26" fillId="0" borderId="0" xfId="0" applyFont="1" applyAlignment="1">
      <alignment horizontal="center" vertical="center"/>
    </xf>
    <xf numFmtId="0" fontId="25" fillId="0" borderId="0" xfId="0" applyFont="1" applyAlignment="1">
      <alignment vertical="center"/>
    </xf>
    <xf numFmtId="0" fontId="25" fillId="0" borderId="19" xfId="0" applyFont="1" applyBorder="1" applyAlignment="1">
      <alignment vertical="center"/>
    </xf>
    <xf numFmtId="0" fontId="27" fillId="0" borderId="0" xfId="0" applyFont="1" applyAlignment="1">
      <alignment horizontal="right"/>
    </xf>
    <xf numFmtId="0" fontId="0" fillId="0" borderId="23" xfId="0" applyBorder="1"/>
    <xf numFmtId="0" fontId="0" fillId="0" borderId="24" xfId="0" applyBorder="1"/>
    <xf numFmtId="0" fontId="0" fillId="0" borderId="25" xfId="0" applyBorder="1"/>
    <xf numFmtId="0" fontId="40" fillId="0" borderId="0" xfId="0" applyFont="1"/>
    <xf numFmtId="0" fontId="41" fillId="0" borderId="2" xfId="4" applyFont="1"/>
    <xf numFmtId="0" fontId="42" fillId="0" borderId="0" xfId="6" applyFont="1"/>
    <xf numFmtId="0" fontId="43" fillId="0" borderId="10" xfId="0" applyFont="1" applyBorder="1"/>
    <xf numFmtId="0" fontId="43" fillId="0" borderId="12" xfId="0" applyFont="1" applyBorder="1"/>
    <xf numFmtId="0" fontId="45" fillId="0" borderId="0" xfId="0" applyFont="1"/>
    <xf numFmtId="0" fontId="46" fillId="0" borderId="0" xfId="0" applyFont="1" applyAlignment="1">
      <alignment horizontal="right"/>
    </xf>
    <xf numFmtId="0" fontId="46" fillId="0" borderId="0" xfId="0" applyFont="1" applyAlignment="1">
      <alignment horizontal="left"/>
    </xf>
    <xf numFmtId="0" fontId="48" fillId="0" borderId="0" xfId="0" applyFont="1" applyAlignment="1">
      <alignment horizontal="right"/>
    </xf>
    <xf numFmtId="0" fontId="48" fillId="0" borderId="0" xfId="0" applyFont="1" applyAlignment="1">
      <alignment horizontal="left"/>
    </xf>
    <xf numFmtId="0" fontId="0" fillId="0" borderId="0" xfId="0" applyAlignment="1">
      <alignment horizontal="center"/>
    </xf>
    <xf numFmtId="0" fontId="30" fillId="41" borderId="0" xfId="0" applyFont="1" applyFill="1" applyAlignment="1">
      <alignment horizontal="center" vertical="center"/>
    </xf>
    <xf numFmtId="0" fontId="30" fillId="0" borderId="0" xfId="0" applyFont="1" applyAlignment="1">
      <alignment horizontal="center" vertical="center"/>
    </xf>
    <xf numFmtId="0" fontId="30" fillId="34" borderId="0" xfId="0" applyFont="1" applyFill="1" applyAlignment="1">
      <alignment horizontal="center" vertical="center"/>
    </xf>
    <xf numFmtId="0" fontId="50" fillId="0" borderId="32" xfId="0" applyFont="1" applyBorder="1"/>
    <xf numFmtId="0" fontId="51" fillId="0" borderId="0" xfId="0" applyFont="1"/>
    <xf numFmtId="0" fontId="17" fillId="35" borderId="27" xfId="0" applyFont="1" applyFill="1" applyBorder="1"/>
    <xf numFmtId="0" fontId="17" fillId="35" borderId="28" xfId="0" applyFont="1" applyFill="1" applyBorder="1"/>
    <xf numFmtId="0" fontId="17" fillId="36" borderId="27" xfId="0" applyFont="1" applyFill="1" applyBorder="1"/>
    <xf numFmtId="0" fontId="17" fillId="36" borderId="28" xfId="0" applyFont="1" applyFill="1" applyBorder="1"/>
    <xf numFmtId="0" fontId="17" fillId="37" borderId="28" xfId="0" applyFont="1" applyFill="1" applyBorder="1"/>
    <xf numFmtId="0" fontId="17" fillId="38" borderId="28" xfId="0" applyFont="1" applyFill="1" applyBorder="1"/>
    <xf numFmtId="0" fontId="17" fillId="38" borderId="27" xfId="0" applyFont="1" applyFill="1" applyBorder="1"/>
    <xf numFmtId="0" fontId="51" fillId="0" borderId="33" xfId="0" applyFont="1" applyBorder="1"/>
    <xf numFmtId="0" fontId="0" fillId="0" borderId="33" xfId="0" applyBorder="1"/>
    <xf numFmtId="0" fontId="17" fillId="36" borderId="30" xfId="0" applyFont="1" applyFill="1" applyBorder="1"/>
    <xf numFmtId="0" fontId="17" fillId="36" borderId="0" xfId="0" applyFont="1" applyFill="1"/>
    <xf numFmtId="0" fontId="17" fillId="35" borderId="30" xfId="0" applyFont="1" applyFill="1" applyBorder="1"/>
    <xf numFmtId="0" fontId="17" fillId="35" borderId="0" xfId="0" applyFont="1" applyFill="1"/>
    <xf numFmtId="0" fontId="17" fillId="37" borderId="30" xfId="0" applyFont="1" applyFill="1" applyBorder="1"/>
    <xf numFmtId="0" fontId="17" fillId="37" borderId="0" xfId="0" applyFont="1" applyFill="1"/>
    <xf numFmtId="0" fontId="17" fillId="38" borderId="30" xfId="0" applyFont="1" applyFill="1" applyBorder="1"/>
    <xf numFmtId="0" fontId="17" fillId="38" borderId="0" xfId="0" applyFont="1" applyFill="1"/>
    <xf numFmtId="0" fontId="48" fillId="0" borderId="0" xfId="0" applyFont="1"/>
    <xf numFmtId="0" fontId="52" fillId="0" borderId="0" xfId="0" applyFont="1"/>
    <xf numFmtId="0" fontId="53" fillId="0" borderId="0" xfId="0" applyFont="1"/>
    <xf numFmtId="0" fontId="54" fillId="0" borderId="0" xfId="0" applyFont="1"/>
    <xf numFmtId="0" fontId="55" fillId="0" borderId="0" xfId="0" applyFont="1"/>
    <xf numFmtId="0" fontId="56" fillId="44" borderId="26" xfId="0" applyFont="1" applyFill="1" applyBorder="1" applyAlignment="1">
      <alignment horizontal="center"/>
    </xf>
    <xf numFmtId="0" fontId="0" fillId="43" borderId="0" xfId="0" applyFill="1"/>
    <xf numFmtId="0" fontId="17" fillId="43" borderId="0" xfId="0" applyFont="1" applyFill="1"/>
    <xf numFmtId="0" fontId="0" fillId="0" borderId="0" xfId="0" quotePrefix="1"/>
    <xf numFmtId="0" fontId="56" fillId="0" borderId="0" xfId="0" applyFont="1"/>
    <xf numFmtId="0" fontId="53" fillId="0" borderId="26" xfId="0" applyFont="1" applyBorder="1"/>
    <xf numFmtId="0" fontId="0" fillId="38" borderId="0" xfId="0" applyFill="1"/>
    <xf numFmtId="0" fontId="30" fillId="0" borderId="0" xfId="0" applyFont="1" applyAlignment="1">
      <alignment horizontal="left" vertical="center"/>
    </xf>
    <xf numFmtId="0" fontId="60" fillId="0" borderId="0" xfId="0" applyFont="1"/>
    <xf numFmtId="0" fontId="60" fillId="0" borderId="0" xfId="0" applyFont="1" applyAlignment="1">
      <alignment horizontal="right"/>
    </xf>
    <xf numFmtId="14" fontId="0" fillId="0" borderId="0" xfId="0" applyNumberFormat="1"/>
    <xf numFmtId="0" fontId="59" fillId="0" borderId="0" xfId="0" applyFont="1"/>
    <xf numFmtId="0" fontId="61" fillId="0" borderId="0" xfId="0" applyFont="1"/>
    <xf numFmtId="0" fontId="62" fillId="0" borderId="0" xfId="0" applyFont="1"/>
    <xf numFmtId="0" fontId="63" fillId="0" borderId="0" xfId="0" applyFont="1"/>
    <xf numFmtId="0" fontId="65" fillId="0" borderId="0" xfId="0" applyFont="1" applyAlignment="1">
      <alignment horizontal="left" vertical="center"/>
    </xf>
    <xf numFmtId="14" fontId="65" fillId="0" borderId="0" xfId="0" applyNumberFormat="1" applyFont="1" applyAlignment="1">
      <alignment horizontal="left" vertical="center"/>
    </xf>
    <xf numFmtId="173" fontId="65" fillId="0" borderId="0" xfId="0" applyNumberFormat="1" applyFont="1" applyAlignment="1">
      <alignment horizontal="center" vertical="center"/>
    </xf>
    <xf numFmtId="174" fontId="65" fillId="0" borderId="0" xfId="0" applyNumberFormat="1" applyFont="1" applyAlignment="1">
      <alignment horizontal="center" vertical="center"/>
    </xf>
    <xf numFmtId="0" fontId="13" fillId="47" borderId="26" xfId="0" applyFont="1" applyFill="1" applyBorder="1"/>
    <xf numFmtId="0" fontId="13" fillId="47" borderId="26" xfId="0" applyFont="1" applyFill="1" applyBorder="1" applyAlignment="1">
      <alignment horizontal="center"/>
    </xf>
    <xf numFmtId="0" fontId="0" fillId="0" borderId="26" xfId="0" applyBorder="1"/>
    <xf numFmtId="175" fontId="0" fillId="0" borderId="34" xfId="43" applyNumberFormat="1" applyFont="1" applyBorder="1"/>
    <xf numFmtId="0" fontId="0" fillId="49" borderId="0" xfId="0" applyFill="1"/>
    <xf numFmtId="0" fontId="66" fillId="0" borderId="0" xfId="0" applyFont="1"/>
    <xf numFmtId="0" fontId="16" fillId="0" borderId="9" xfId="18" applyAlignment="1">
      <alignment wrapText="1"/>
    </xf>
    <xf numFmtId="0" fontId="16" fillId="0" borderId="9" xfId="18"/>
    <xf numFmtId="0" fontId="58" fillId="46" borderId="26" xfId="0" applyFont="1" applyFill="1" applyBorder="1" applyAlignment="1">
      <alignment horizontal="center"/>
    </xf>
    <xf numFmtId="0" fontId="73" fillId="0" borderId="0" xfId="0" applyFont="1" applyAlignment="1">
      <alignment horizontal="left"/>
    </xf>
    <xf numFmtId="0" fontId="43" fillId="0" borderId="0" xfId="0" applyFont="1"/>
    <xf numFmtId="0" fontId="75" fillId="0" borderId="0" xfId="0" applyFont="1"/>
    <xf numFmtId="0" fontId="76" fillId="0" borderId="0" xfId="0" applyFont="1"/>
    <xf numFmtId="0" fontId="77" fillId="0" borderId="0" xfId="0" applyFont="1"/>
    <xf numFmtId="0" fontId="78" fillId="0" borderId="0" xfId="0" applyFont="1"/>
    <xf numFmtId="0" fontId="30" fillId="0" borderId="0" xfId="0" applyFont="1" applyAlignment="1">
      <alignment horizontal="center"/>
    </xf>
    <xf numFmtId="0" fontId="43" fillId="0" borderId="0" xfId="0" applyFont="1" applyAlignment="1">
      <alignment horizontal="center" vertical="center"/>
    </xf>
    <xf numFmtId="0" fontId="43" fillId="0" borderId="0" xfId="0" applyFont="1" applyAlignment="1">
      <alignment horizontal="center"/>
    </xf>
    <xf numFmtId="0" fontId="43" fillId="0" borderId="32" xfId="0" applyFont="1" applyBorder="1" applyAlignment="1">
      <alignment horizontal="center" vertical="center"/>
    </xf>
    <xf numFmtId="0" fontId="43" fillId="0" borderId="32" xfId="0" applyFont="1" applyBorder="1" applyAlignment="1">
      <alignment horizontal="center"/>
    </xf>
    <xf numFmtId="0" fontId="43" fillId="0" borderId="30" xfId="0" applyFont="1" applyBorder="1" applyAlignment="1">
      <alignment horizontal="center"/>
    </xf>
    <xf numFmtId="0" fontId="43" fillId="0" borderId="44" xfId="0" applyFont="1" applyBorder="1" applyAlignment="1">
      <alignment horizontal="center"/>
    </xf>
    <xf numFmtId="0" fontId="43" fillId="0" borderId="42" xfId="0" applyFont="1" applyBorder="1" applyAlignment="1">
      <alignment horizontal="center"/>
    </xf>
    <xf numFmtId="0" fontId="43" fillId="0" borderId="43" xfId="0" applyFont="1" applyBorder="1" applyAlignment="1">
      <alignment horizontal="center"/>
    </xf>
    <xf numFmtId="0" fontId="74" fillId="9" borderId="27" xfId="19" applyFont="1" applyBorder="1"/>
    <xf numFmtId="0" fontId="74" fillId="9" borderId="28" xfId="19" applyFont="1" applyBorder="1" applyAlignment="1">
      <alignment horizontal="center"/>
    </xf>
    <xf numFmtId="0" fontId="74" fillId="9" borderId="27" xfId="19" applyFont="1" applyBorder="1" applyAlignment="1">
      <alignment horizontal="center"/>
    </xf>
    <xf numFmtId="0" fontId="74" fillId="9" borderId="29" xfId="19" applyFont="1" applyBorder="1" applyAlignment="1">
      <alignment horizontal="center"/>
    </xf>
    <xf numFmtId="0" fontId="43" fillId="0" borderId="30" xfId="0" applyFont="1" applyBorder="1"/>
    <xf numFmtId="0" fontId="43" fillId="0" borderId="42" xfId="0" applyFont="1" applyBorder="1"/>
    <xf numFmtId="0" fontId="50" fillId="0" borderId="32" xfId="0" applyFont="1" applyBorder="1" applyAlignment="1">
      <alignment horizontal="center"/>
    </xf>
    <xf numFmtId="0" fontId="13" fillId="53" borderId="45" xfId="0" applyFont="1" applyFill="1" applyBorder="1"/>
    <xf numFmtId="0" fontId="13" fillId="53" borderId="46" xfId="0" applyFont="1" applyFill="1" applyBorder="1"/>
    <xf numFmtId="0" fontId="0" fillId="0" borderId="45" xfId="0" applyBorder="1"/>
    <xf numFmtId="0" fontId="0" fillId="0" borderId="47" xfId="0" applyBorder="1"/>
    <xf numFmtId="0" fontId="13" fillId="53" borderId="48" xfId="0" applyFont="1" applyFill="1" applyBorder="1"/>
    <xf numFmtId="0" fontId="0" fillId="0" borderId="48" xfId="0" applyBorder="1"/>
    <xf numFmtId="0" fontId="0" fillId="0" borderId="49" xfId="0" applyBorder="1"/>
    <xf numFmtId="0" fontId="13" fillId="54" borderId="50" xfId="0" applyFont="1" applyFill="1" applyBorder="1"/>
    <xf numFmtId="0" fontId="13" fillId="54" borderId="34" xfId="0" applyFont="1" applyFill="1" applyBorder="1"/>
    <xf numFmtId="0" fontId="13" fillId="54" borderId="35" xfId="0" applyFont="1" applyFill="1" applyBorder="1"/>
    <xf numFmtId="0" fontId="0" fillId="0" borderId="50" xfId="0" applyBorder="1"/>
    <xf numFmtId="0" fontId="0" fillId="0" borderId="34" xfId="0" applyBorder="1"/>
    <xf numFmtId="0" fontId="0" fillId="0" borderId="51" xfId="0" applyBorder="1"/>
    <xf numFmtId="0" fontId="0" fillId="0" borderId="52" xfId="0" applyBorder="1"/>
    <xf numFmtId="0" fontId="0" fillId="0" borderId="55" xfId="0" applyBorder="1"/>
    <xf numFmtId="0" fontId="0" fillId="0" borderId="56" xfId="0" applyBorder="1"/>
    <xf numFmtId="0" fontId="0" fillId="0" borderId="57" xfId="0" applyBorder="1"/>
    <xf numFmtId="0" fontId="0" fillId="0" borderId="58" xfId="0" applyBorder="1"/>
    <xf numFmtId="0" fontId="80" fillId="0" borderId="2" xfId="4" applyFont="1"/>
    <xf numFmtId="0" fontId="43" fillId="0" borderId="30" xfId="0" applyFont="1" applyBorder="1" applyAlignment="1">
      <alignment horizontal="center" vertical="center"/>
    </xf>
    <xf numFmtId="0" fontId="43" fillId="0" borderId="42" xfId="0" applyFont="1" applyBorder="1" applyAlignment="1">
      <alignment horizontal="center" vertical="center"/>
    </xf>
    <xf numFmtId="0" fontId="30" fillId="61" borderId="0" xfId="0" applyFont="1" applyFill="1"/>
    <xf numFmtId="0" fontId="23" fillId="61" borderId="0" xfId="0" applyFont="1" applyFill="1" applyAlignment="1">
      <alignment vertical="center"/>
    </xf>
    <xf numFmtId="0" fontId="30" fillId="0" borderId="30" xfId="0" applyFont="1" applyBorder="1"/>
    <xf numFmtId="0" fontId="0" fillId="0" borderId="46" xfId="0" applyBorder="1"/>
    <xf numFmtId="0" fontId="0" fillId="0" borderId="62" xfId="0" applyBorder="1"/>
    <xf numFmtId="0" fontId="0" fillId="0" borderId="61" xfId="0" applyBorder="1"/>
    <xf numFmtId="0" fontId="0" fillId="0" borderId="63" xfId="0" applyBorder="1"/>
    <xf numFmtId="0" fontId="0" fillId="0" borderId="64" xfId="0" applyBorder="1"/>
    <xf numFmtId="0" fontId="58" fillId="56" borderId="71" xfId="0" applyFont="1" applyFill="1" applyBorder="1"/>
    <xf numFmtId="0" fontId="58" fillId="56" borderId="72" xfId="0" applyFont="1" applyFill="1" applyBorder="1"/>
    <xf numFmtId="0" fontId="58" fillId="56" borderId="73" xfId="0" applyFont="1" applyFill="1" applyBorder="1"/>
    <xf numFmtId="0" fontId="53" fillId="0" borderId="71" xfId="0" applyFont="1" applyBorder="1"/>
    <xf numFmtId="0" fontId="53" fillId="0" borderId="72" xfId="0" applyFont="1" applyBorder="1"/>
    <xf numFmtId="0" fontId="53" fillId="0" borderId="73" xfId="0" applyFont="1" applyBorder="1"/>
    <xf numFmtId="0" fontId="53" fillId="0" borderId="55" xfId="0" applyFont="1" applyBorder="1"/>
    <xf numFmtId="0" fontId="53" fillId="0" borderId="56" xfId="0" applyFont="1" applyBorder="1"/>
    <xf numFmtId="0" fontId="53" fillId="0" borderId="57" xfId="0" applyFont="1" applyBorder="1"/>
    <xf numFmtId="0" fontId="13" fillId="56" borderId="71" xfId="0" applyFont="1" applyFill="1" applyBorder="1"/>
    <xf numFmtId="0" fontId="13" fillId="56" borderId="72" xfId="0" applyFont="1" applyFill="1" applyBorder="1"/>
    <xf numFmtId="0" fontId="13" fillId="56" borderId="73" xfId="0" applyFont="1" applyFill="1" applyBorder="1"/>
    <xf numFmtId="0" fontId="0" fillId="57" borderId="71" xfId="0" applyFill="1" applyBorder="1"/>
    <xf numFmtId="0" fontId="0" fillId="57" borderId="72" xfId="0" applyFill="1" applyBorder="1"/>
    <xf numFmtId="0" fontId="0" fillId="57" borderId="73" xfId="0" applyFill="1" applyBorder="1"/>
    <xf numFmtId="0" fontId="0" fillId="0" borderId="71" xfId="0" applyBorder="1"/>
    <xf numFmtId="0" fontId="0" fillId="0" borderId="72" xfId="0" applyBorder="1"/>
    <xf numFmtId="0" fontId="0" fillId="0" borderId="73" xfId="0" applyBorder="1"/>
    <xf numFmtId="0" fontId="58" fillId="58" borderId="65" xfId="0" applyFont="1" applyFill="1" applyBorder="1"/>
    <xf numFmtId="0" fontId="58" fillId="58" borderId="67" xfId="0" applyFont="1" applyFill="1" applyBorder="1"/>
    <xf numFmtId="0" fontId="58" fillId="58" borderId="68" xfId="0" applyFont="1" applyFill="1" applyBorder="1"/>
    <xf numFmtId="0" fontId="53" fillId="0" borderId="65" xfId="0" applyFont="1" applyBorder="1"/>
    <xf numFmtId="0" fontId="53" fillId="0" borderId="67" xfId="0" applyFont="1" applyBorder="1"/>
    <xf numFmtId="0" fontId="53" fillId="0" borderId="68" xfId="0" applyFont="1" applyBorder="1"/>
    <xf numFmtId="0" fontId="53" fillId="0" borderId="66" xfId="0" applyFont="1" applyBorder="1"/>
    <xf numFmtId="0" fontId="53" fillId="0" borderId="69" xfId="0" applyFont="1" applyBorder="1"/>
    <xf numFmtId="0" fontId="53" fillId="0" borderId="70" xfId="0" applyFont="1" applyBorder="1"/>
    <xf numFmtId="0" fontId="13" fillId="58" borderId="67" xfId="0" applyFont="1" applyFill="1" applyBorder="1"/>
    <xf numFmtId="0" fontId="13" fillId="58" borderId="68" xfId="0" applyFont="1" applyFill="1" applyBorder="1"/>
    <xf numFmtId="0" fontId="13" fillId="58" borderId="65" xfId="0" applyFont="1" applyFill="1" applyBorder="1"/>
    <xf numFmtId="0" fontId="0" fillId="0" borderId="67" xfId="0" applyBorder="1"/>
    <xf numFmtId="0" fontId="0" fillId="0" borderId="68" xfId="0" applyBorder="1"/>
    <xf numFmtId="0" fontId="0" fillId="0" borderId="65" xfId="0" applyBorder="1"/>
    <xf numFmtId="0" fontId="0" fillId="0" borderId="66" xfId="0" applyBorder="1"/>
    <xf numFmtId="0" fontId="0" fillId="0" borderId="70" xfId="0" applyBorder="1"/>
    <xf numFmtId="0" fontId="0" fillId="0" borderId="69" xfId="0" applyBorder="1"/>
    <xf numFmtId="0" fontId="0" fillId="0" borderId="65" xfId="0" applyBorder="1" applyAlignment="1">
      <alignment horizontal="center"/>
    </xf>
    <xf numFmtId="0" fontId="49" fillId="0" borderId="67" xfId="0" applyFont="1" applyBorder="1"/>
    <xf numFmtId="0" fontId="0" fillId="0" borderId="67" xfId="0" applyBorder="1" applyAlignment="1">
      <alignment horizontal="center"/>
    </xf>
    <xf numFmtId="172" fontId="0" fillId="0" borderId="67" xfId="0" applyNumberFormat="1" applyBorder="1"/>
    <xf numFmtId="0" fontId="0" fillId="0" borderId="69" xfId="0" applyBorder="1" applyAlignment="1">
      <alignment horizontal="center"/>
    </xf>
    <xf numFmtId="172" fontId="0" fillId="0" borderId="69" xfId="0" applyNumberFormat="1" applyBorder="1"/>
    <xf numFmtId="0" fontId="81" fillId="58" borderId="65" xfId="0" applyFont="1" applyFill="1" applyBorder="1"/>
    <xf numFmtId="0" fontId="81" fillId="58" borderId="67" xfId="0" applyFont="1" applyFill="1" applyBorder="1"/>
    <xf numFmtId="0" fontId="81" fillId="58" borderId="68" xfId="0" applyFont="1" applyFill="1" applyBorder="1"/>
    <xf numFmtId="0" fontId="45" fillId="0" borderId="65" xfId="0" applyFont="1" applyBorder="1" applyAlignment="1">
      <alignment horizontal="center"/>
    </xf>
    <xf numFmtId="0" fontId="45" fillId="0" borderId="67" xfId="0" applyFont="1" applyBorder="1"/>
    <xf numFmtId="172" fontId="45" fillId="0" borderId="67" xfId="0" applyNumberFormat="1" applyFont="1" applyBorder="1"/>
    <xf numFmtId="0" fontId="45" fillId="0" borderId="68" xfId="0" applyFont="1" applyBorder="1"/>
    <xf numFmtId="0" fontId="45" fillId="0" borderId="66" xfId="0" applyFont="1" applyBorder="1" applyAlignment="1">
      <alignment horizontal="center"/>
    </xf>
    <xf numFmtId="0" fontId="45" fillId="0" borderId="69" xfId="0" applyFont="1" applyBorder="1"/>
    <xf numFmtId="172" fontId="45" fillId="0" borderId="69" xfId="0" applyNumberFormat="1" applyFont="1" applyBorder="1"/>
    <xf numFmtId="0" fontId="45" fillId="0" borderId="70" xfId="0" applyFont="1" applyBorder="1"/>
    <xf numFmtId="0" fontId="13" fillId="59" borderId="74" xfId="0" applyFont="1" applyFill="1" applyBorder="1"/>
    <xf numFmtId="0" fontId="0" fillId="0" borderId="74" xfId="0" applyBorder="1"/>
    <xf numFmtId="0" fontId="13" fillId="59" borderId="36" xfId="0" applyFont="1" applyFill="1" applyBorder="1"/>
    <xf numFmtId="0" fontId="13" fillId="59" borderId="75" xfId="0" applyFont="1" applyFill="1" applyBorder="1"/>
    <xf numFmtId="0" fontId="13" fillId="56" borderId="76" xfId="0" applyFont="1" applyFill="1" applyBorder="1"/>
    <xf numFmtId="0" fontId="13" fillId="56" borderId="77" xfId="0" applyFont="1" applyFill="1" applyBorder="1"/>
    <xf numFmtId="0" fontId="13" fillId="56" borderId="78" xfId="0" applyFont="1" applyFill="1" applyBorder="1"/>
    <xf numFmtId="0" fontId="0" fillId="0" borderId="76" xfId="0" applyBorder="1"/>
    <xf numFmtId="0" fontId="13" fillId="60" borderId="81" xfId="0" applyFont="1" applyFill="1" applyBorder="1"/>
    <xf numFmtId="0" fontId="13" fillId="60" borderId="82" xfId="0" applyFont="1" applyFill="1" applyBorder="1"/>
    <xf numFmtId="0" fontId="13" fillId="60" borderId="83" xfId="0" applyFont="1" applyFill="1" applyBorder="1"/>
    <xf numFmtId="0" fontId="0" fillId="0" borderId="81" xfId="0" applyBorder="1"/>
    <xf numFmtId="0" fontId="0" fillId="0" borderId="84" xfId="0" applyBorder="1"/>
    <xf numFmtId="169" fontId="0" fillId="0" borderId="36" xfId="1" applyNumberFormat="1" applyFont="1" applyBorder="1"/>
    <xf numFmtId="169" fontId="0" fillId="0" borderId="75" xfId="1" applyNumberFormat="1" applyFont="1" applyBorder="1"/>
    <xf numFmtId="169" fontId="0" fillId="0" borderId="59" xfId="1" applyNumberFormat="1" applyFont="1" applyBorder="1"/>
    <xf numFmtId="169" fontId="0" fillId="0" borderId="60" xfId="1" applyNumberFormat="1" applyFont="1" applyBorder="1"/>
    <xf numFmtId="169" fontId="0" fillId="0" borderId="77" xfId="1" applyNumberFormat="1" applyFont="1" applyBorder="1"/>
    <xf numFmtId="169" fontId="0" fillId="0" borderId="78" xfId="1" applyNumberFormat="1" applyFont="1" applyBorder="1"/>
    <xf numFmtId="169" fontId="0" fillId="0" borderId="79" xfId="1" applyNumberFormat="1" applyFont="1" applyBorder="1"/>
    <xf numFmtId="169" fontId="0" fillId="0" borderId="80" xfId="1" applyNumberFormat="1" applyFont="1" applyBorder="1"/>
    <xf numFmtId="0" fontId="18" fillId="0" borderId="50" xfId="0" applyFont="1" applyBorder="1" applyAlignment="1">
      <alignment wrapText="1"/>
    </xf>
    <xf numFmtId="168" fontId="18" fillId="0" borderId="34" xfId="0" applyNumberFormat="1" applyFont="1" applyBorder="1" applyAlignment="1">
      <alignment wrapText="1"/>
    </xf>
    <xf numFmtId="168" fontId="18" fillId="0" borderId="35" xfId="0" applyNumberFormat="1" applyFont="1" applyBorder="1" applyAlignment="1">
      <alignment wrapText="1"/>
    </xf>
    <xf numFmtId="0" fontId="18" fillId="0" borderId="51" xfId="0" applyFont="1" applyBorder="1" applyAlignment="1">
      <alignment wrapText="1"/>
    </xf>
    <xf numFmtId="168" fontId="18" fillId="0" borderId="52" xfId="0" applyNumberFormat="1" applyFont="1" applyBorder="1" applyAlignment="1">
      <alignment wrapText="1"/>
    </xf>
    <xf numFmtId="168" fontId="18" fillId="0" borderId="53" xfId="0" applyNumberFormat="1" applyFont="1" applyBorder="1" applyAlignment="1">
      <alignment wrapText="1"/>
    </xf>
    <xf numFmtId="169" fontId="0" fillId="0" borderId="82" xfId="1" applyNumberFormat="1" applyFont="1" applyBorder="1"/>
    <xf numFmtId="169" fontId="0" fillId="0" borderId="83" xfId="1" applyNumberFormat="1" applyFont="1" applyBorder="1"/>
    <xf numFmtId="169" fontId="0" fillId="0" borderId="85" xfId="1" applyNumberFormat="1" applyFont="1" applyBorder="1"/>
    <xf numFmtId="0" fontId="64" fillId="0" borderId="37" xfId="0" applyFont="1" applyBorder="1" applyAlignment="1">
      <alignment horizontal="left" vertical="center"/>
    </xf>
    <xf numFmtId="0" fontId="65" fillId="55" borderId="86" xfId="0" applyFont="1" applyFill="1" applyBorder="1" applyAlignment="1">
      <alignment horizontal="left" vertical="center"/>
    </xf>
    <xf numFmtId="0" fontId="65" fillId="55" borderId="0" xfId="0" applyFont="1" applyFill="1" applyAlignment="1">
      <alignment horizontal="left" vertical="center"/>
    </xf>
    <xf numFmtId="14" fontId="65" fillId="55" borderId="0" xfId="0" applyNumberFormat="1" applyFont="1" applyFill="1" applyAlignment="1">
      <alignment horizontal="left" vertical="center"/>
    </xf>
    <xf numFmtId="173" fontId="64" fillId="0" borderId="37" xfId="0" applyNumberFormat="1" applyFont="1" applyBorder="1" applyAlignment="1">
      <alignment horizontal="center" vertical="center"/>
    </xf>
    <xf numFmtId="174" fontId="64" fillId="0" borderId="37" xfId="0" applyNumberFormat="1" applyFont="1" applyBorder="1" applyAlignment="1">
      <alignment horizontal="center" vertical="center"/>
    </xf>
    <xf numFmtId="173" fontId="65" fillId="55" borderId="86" xfId="0" applyNumberFormat="1" applyFont="1" applyFill="1" applyBorder="1" applyAlignment="1">
      <alignment horizontal="center" vertical="center"/>
    </xf>
    <xf numFmtId="174" fontId="65" fillId="55" borderId="86" xfId="0" applyNumberFormat="1" applyFont="1" applyFill="1" applyBorder="1" applyAlignment="1">
      <alignment horizontal="center" vertical="center"/>
    </xf>
    <xf numFmtId="173" fontId="65" fillId="55" borderId="0" xfId="0" applyNumberFormat="1" applyFont="1" applyFill="1" applyAlignment="1">
      <alignment horizontal="center" vertical="center"/>
    </xf>
    <xf numFmtId="174" fontId="65" fillId="55" borderId="0" xfId="0" applyNumberFormat="1" applyFont="1" applyFill="1" applyAlignment="1">
      <alignment horizontal="center" vertical="center"/>
    </xf>
    <xf numFmtId="0" fontId="65" fillId="0" borderId="54" xfId="0" applyFont="1" applyBorder="1" applyAlignment="1">
      <alignment horizontal="left" vertical="center"/>
    </xf>
    <xf numFmtId="173" fontId="65" fillId="0" borderId="54" xfId="0" applyNumberFormat="1" applyFont="1" applyBorder="1" applyAlignment="1">
      <alignment horizontal="center" vertical="center"/>
    </xf>
    <xf numFmtId="174" fontId="65" fillId="0" borderId="54" xfId="0" applyNumberFormat="1" applyFont="1" applyBorder="1" applyAlignment="1">
      <alignment horizontal="center" vertical="center"/>
    </xf>
    <xf numFmtId="0" fontId="0" fillId="0" borderId="87" xfId="0" applyBorder="1"/>
    <xf numFmtId="0" fontId="0" fillId="0" borderId="88" xfId="0" applyBorder="1"/>
    <xf numFmtId="0" fontId="13" fillId="62" borderId="0" xfId="0" applyFont="1" applyFill="1" applyAlignment="1">
      <alignment horizontal="left" vertical="center"/>
    </xf>
    <xf numFmtId="0" fontId="68" fillId="48" borderId="89" xfId="0" applyFont="1" applyFill="1" applyBorder="1" applyAlignment="1">
      <alignment horizontal="center"/>
    </xf>
    <xf numFmtId="0" fontId="68" fillId="48" borderId="38" xfId="0" applyFont="1" applyFill="1" applyBorder="1" applyAlignment="1">
      <alignment horizontal="center"/>
    </xf>
    <xf numFmtId="0" fontId="68" fillId="48" borderId="90" xfId="0" applyFont="1" applyFill="1" applyBorder="1" applyAlignment="1">
      <alignment horizontal="center"/>
    </xf>
    <xf numFmtId="0" fontId="0" fillId="0" borderId="89" xfId="0" applyBorder="1"/>
    <xf numFmtId="175" fontId="0" fillId="0" borderId="52" xfId="43" applyNumberFormat="1" applyFont="1" applyBorder="1"/>
    <xf numFmtId="175" fontId="0" fillId="0" borderId="53" xfId="43" applyNumberFormat="1" applyFont="1" applyBorder="1"/>
    <xf numFmtId="14" fontId="0" fillId="0" borderId="45" xfId="0" applyNumberFormat="1" applyBorder="1"/>
    <xf numFmtId="14" fontId="0" fillId="0" borderId="47" xfId="0" applyNumberFormat="1" applyBorder="1"/>
    <xf numFmtId="0" fontId="0" fillId="0" borderId="66" xfId="0" applyBorder="1" applyAlignment="1">
      <alignment horizontal="center"/>
    </xf>
    <xf numFmtId="2" fontId="24" fillId="0" borderId="0" xfId="0" applyNumberFormat="1" applyFont="1" applyAlignment="1">
      <alignment horizontal="left"/>
    </xf>
    <xf numFmtId="0" fontId="33" fillId="0" borderId="0" xfId="0" applyFont="1"/>
    <xf numFmtId="0" fontId="24" fillId="0" borderId="93" xfId="0" applyFont="1" applyBorder="1"/>
    <xf numFmtId="0" fontId="24" fillId="0" borderId="94" xfId="0" applyFont="1" applyBorder="1"/>
    <xf numFmtId="0" fontId="24" fillId="0" borderId="94" xfId="0" applyFont="1" applyBorder="1" applyAlignment="1">
      <alignment horizontal="left"/>
    </xf>
    <xf numFmtId="0" fontId="30" fillId="14" borderId="26" xfId="24" applyFont="1" applyBorder="1" applyAlignment="1">
      <alignment horizontal="center"/>
    </xf>
    <xf numFmtId="0" fontId="30" fillId="30" borderId="26" xfId="40" applyFont="1" applyBorder="1" applyAlignment="1">
      <alignment horizontal="center"/>
    </xf>
    <xf numFmtId="0" fontId="30" fillId="26" borderId="26" xfId="36" applyFont="1" applyBorder="1" applyAlignment="1">
      <alignment horizontal="center"/>
    </xf>
    <xf numFmtId="0" fontId="30" fillId="50" borderId="26" xfId="0" quotePrefix="1" applyFont="1" applyFill="1" applyBorder="1" applyAlignment="1">
      <alignment horizontal="center"/>
    </xf>
    <xf numFmtId="0" fontId="30" fillId="50" borderId="26" xfId="0" applyFont="1" applyFill="1" applyBorder="1" applyAlignment="1">
      <alignment horizontal="center"/>
    </xf>
    <xf numFmtId="0" fontId="30" fillId="34" borderId="26" xfId="0" quotePrefix="1" applyFont="1" applyFill="1" applyBorder="1" applyAlignment="1">
      <alignment horizontal="center"/>
    </xf>
    <xf numFmtId="0" fontId="30" fillId="34" borderId="26" xfId="0" applyFont="1" applyFill="1" applyBorder="1" applyAlignment="1">
      <alignment horizontal="center"/>
    </xf>
    <xf numFmtId="0" fontId="30" fillId="40" borderId="26" xfId="0" quotePrefix="1" applyFont="1" applyFill="1" applyBorder="1" applyAlignment="1">
      <alignment horizontal="center"/>
    </xf>
    <xf numFmtId="0" fontId="30" fillId="40" borderId="26" xfId="0" applyFont="1" applyFill="1" applyBorder="1" applyAlignment="1">
      <alignment horizontal="center"/>
    </xf>
    <xf numFmtId="0" fontId="23" fillId="0" borderId="40" xfId="0" applyFont="1" applyBorder="1" applyAlignment="1">
      <alignment horizontal="center" vertical="center"/>
    </xf>
    <xf numFmtId="0" fontId="30" fillId="0" borderId="44" xfId="0" applyFont="1" applyBorder="1"/>
    <xf numFmtId="0" fontId="30" fillId="50" borderId="26" xfId="0" applyFont="1" applyFill="1" applyBorder="1"/>
    <xf numFmtId="0" fontId="30" fillId="40" borderId="26" xfId="0" applyFont="1" applyFill="1" applyBorder="1"/>
    <xf numFmtId="0" fontId="30" fillId="40" borderId="29" xfId="0" quotePrefix="1" applyFont="1" applyFill="1" applyBorder="1" applyAlignment="1">
      <alignment horizontal="center"/>
    </xf>
    <xf numFmtId="0" fontId="30" fillId="50" borderId="26" xfId="0" quotePrefix="1" applyFont="1" applyFill="1" applyBorder="1"/>
    <xf numFmtId="0" fontId="50" fillId="0" borderId="0" xfId="0" applyFont="1" applyAlignment="1">
      <alignment horizontal="center"/>
    </xf>
    <xf numFmtId="0" fontId="50" fillId="0" borderId="0" xfId="0" applyFont="1"/>
    <xf numFmtId="0" fontId="83" fillId="0" borderId="3" xfId="5" applyFont="1"/>
    <xf numFmtId="0" fontId="30" fillId="0" borderId="26" xfId="0" applyFont="1" applyBorder="1" applyAlignment="1">
      <alignment horizontal="center"/>
    </xf>
    <xf numFmtId="0" fontId="31" fillId="13" borderId="26" xfId="23" applyFont="1" applyBorder="1" applyAlignment="1"/>
    <xf numFmtId="0" fontId="31" fillId="29" borderId="26" xfId="39" applyFont="1" applyBorder="1" applyAlignment="1"/>
    <xf numFmtId="0" fontId="32" fillId="9" borderId="26" xfId="19" applyFont="1" applyBorder="1" applyAlignment="1"/>
    <xf numFmtId="9" fontId="0" fillId="0" borderId="0" xfId="0" applyNumberFormat="1"/>
    <xf numFmtId="0" fontId="82" fillId="0" borderId="0" xfId="0" applyFont="1" applyProtection="1">
      <protection hidden="1"/>
    </xf>
    <xf numFmtId="0" fontId="24" fillId="0" borderId="0" xfId="0" applyFont="1" applyProtection="1">
      <protection hidden="1"/>
    </xf>
    <xf numFmtId="164" fontId="30" fillId="50" borderId="26" xfId="0" applyNumberFormat="1" applyFont="1" applyFill="1" applyBorder="1"/>
    <xf numFmtId="164" fontId="30" fillId="34" borderId="26" xfId="0" applyNumberFormat="1" applyFont="1" applyFill="1" applyBorder="1"/>
    <xf numFmtId="0" fontId="30" fillId="26" borderId="26" xfId="36" applyFont="1" applyBorder="1" applyAlignment="1">
      <alignment horizontal="left"/>
    </xf>
    <xf numFmtId="0" fontId="30" fillId="0" borderId="26" xfId="0" quotePrefix="1" applyFont="1" applyBorder="1" applyAlignment="1">
      <alignment horizontal="center"/>
    </xf>
    <xf numFmtId="0" fontId="30" fillId="0" borderId="26" xfId="0" quotePrefix="1" applyFont="1" applyBorder="1"/>
    <xf numFmtId="169" fontId="0" fillId="0" borderId="0" xfId="0" applyNumberFormat="1"/>
    <xf numFmtId="0" fontId="55" fillId="0" borderId="0" xfId="0" applyFont="1" applyAlignment="1">
      <alignment horizontal="right"/>
    </xf>
    <xf numFmtId="0" fontId="49" fillId="0" borderId="69" xfId="0" applyFont="1" applyBorder="1"/>
    <xf numFmtId="0" fontId="29" fillId="0" borderId="32" xfId="0" applyFont="1" applyBorder="1" applyAlignment="1">
      <alignment horizontal="center" vertical="center"/>
    </xf>
    <xf numFmtId="0" fontId="84" fillId="0" borderId="32" xfId="0" applyFont="1" applyBorder="1" applyAlignment="1">
      <alignment horizontal="center" vertical="center"/>
    </xf>
    <xf numFmtId="0" fontId="30" fillId="0" borderId="32" xfId="0" applyFont="1" applyBorder="1"/>
    <xf numFmtId="0" fontId="50" fillId="61" borderId="0" xfId="0" applyFont="1" applyFill="1" applyAlignment="1">
      <alignment vertical="center"/>
    </xf>
    <xf numFmtId="0" fontId="50" fillId="61" borderId="0" xfId="0" applyFont="1" applyFill="1" applyAlignment="1">
      <alignment vertical="center" wrapText="1"/>
    </xf>
    <xf numFmtId="0" fontId="50" fillId="61" borderId="0" xfId="0" applyFont="1" applyFill="1" applyAlignment="1">
      <alignment horizontal="center" vertical="center"/>
    </xf>
    <xf numFmtId="0" fontId="30" fillId="0" borderId="0" xfId="0" applyFont="1" applyAlignment="1">
      <alignment vertical="center"/>
    </xf>
    <xf numFmtId="0" fontId="30" fillId="0" borderId="0" xfId="0" applyFont="1" applyAlignment="1">
      <alignment vertical="center" wrapText="1"/>
    </xf>
    <xf numFmtId="0" fontId="50" fillId="61" borderId="40" xfId="0" applyFont="1" applyFill="1" applyBorder="1" applyAlignment="1">
      <alignment vertical="center"/>
    </xf>
    <xf numFmtId="0" fontId="50" fillId="61" borderId="40" xfId="0" applyFont="1" applyFill="1" applyBorder="1" applyAlignment="1">
      <alignment vertical="center" wrapText="1"/>
    </xf>
    <xf numFmtId="0" fontId="50" fillId="61" borderId="40" xfId="0" applyFont="1" applyFill="1" applyBorder="1" applyAlignment="1">
      <alignment horizontal="center" vertical="center"/>
    </xf>
    <xf numFmtId="0" fontId="30" fillId="33" borderId="40" xfId="0" applyFont="1" applyFill="1" applyBorder="1"/>
    <xf numFmtId="0" fontId="30" fillId="33" borderId="40" xfId="0" applyFont="1" applyFill="1" applyBorder="1" applyAlignment="1">
      <alignment horizontal="center"/>
    </xf>
    <xf numFmtId="0" fontId="30" fillId="33" borderId="0" xfId="0" applyFont="1" applyFill="1"/>
    <xf numFmtId="0" fontId="30" fillId="33" borderId="0" xfId="0" applyFont="1" applyFill="1" applyAlignment="1">
      <alignment horizontal="center"/>
    </xf>
    <xf numFmtId="14" fontId="65" fillId="0" borderId="54" xfId="0" applyNumberFormat="1" applyFont="1" applyBorder="1" applyAlignment="1">
      <alignment horizontal="left" vertical="center"/>
    </xf>
    <xf numFmtId="0" fontId="85" fillId="0" borderId="32" xfId="0" applyFont="1" applyBorder="1"/>
    <xf numFmtId="0" fontId="86" fillId="0" borderId="32" xfId="0" applyFont="1" applyBorder="1" applyAlignment="1">
      <alignment horizontal="center"/>
    </xf>
    <xf numFmtId="14" fontId="65" fillId="55" borderId="86" xfId="0" applyNumberFormat="1" applyFont="1" applyFill="1" applyBorder="1" applyAlignment="1">
      <alignment horizontal="left" vertical="center"/>
    </xf>
    <xf numFmtId="0" fontId="13" fillId="62" borderId="0" xfId="0" applyFont="1" applyFill="1" applyAlignment="1">
      <alignment horizontal="right"/>
    </xf>
    <xf numFmtId="0" fontId="69" fillId="0" borderId="0" xfId="0" applyFont="1" applyAlignment="1">
      <alignment horizontal="right"/>
    </xf>
    <xf numFmtId="175" fontId="0" fillId="0" borderId="0" xfId="0" applyNumberFormat="1"/>
    <xf numFmtId="14" fontId="0" fillId="0" borderId="35" xfId="43" applyNumberFormat="1" applyFont="1" applyBorder="1"/>
    <xf numFmtId="14" fontId="0" fillId="0" borderId="53" xfId="43" applyNumberFormat="1" applyFont="1" applyBorder="1"/>
    <xf numFmtId="0" fontId="30" fillId="50" borderId="95" xfId="0" applyFont="1" applyFill="1" applyBorder="1"/>
    <xf numFmtId="0" fontId="30" fillId="0" borderId="95" xfId="0" applyFont="1" applyBorder="1" applyAlignment="1">
      <alignment horizontal="center"/>
    </xf>
    <xf numFmtId="0" fontId="30" fillId="50" borderId="92" xfId="0" applyFont="1" applyFill="1" applyBorder="1"/>
    <xf numFmtId="0" fontId="30" fillId="0" borderId="92" xfId="0" applyFont="1" applyBorder="1" applyAlignment="1">
      <alignment horizontal="center"/>
    </xf>
    <xf numFmtId="0" fontId="30" fillId="40" borderId="92" xfId="0" applyFont="1" applyFill="1" applyBorder="1"/>
    <xf numFmtId="0" fontId="30" fillId="51" borderId="92" xfId="0" applyFont="1" applyFill="1" applyBorder="1"/>
    <xf numFmtId="0" fontId="30" fillId="52" borderId="92" xfId="0" applyFont="1" applyFill="1" applyBorder="1"/>
    <xf numFmtId="0" fontId="30" fillId="42" borderId="92" xfId="0" applyFont="1" applyFill="1" applyBorder="1"/>
    <xf numFmtId="0" fontId="30" fillId="49" borderId="92" xfId="0" applyFont="1" applyFill="1" applyBorder="1"/>
    <xf numFmtId="0" fontId="30" fillId="33" borderId="92" xfId="0" applyFont="1" applyFill="1" applyBorder="1"/>
    <xf numFmtId="0" fontId="30" fillId="0" borderId="92" xfId="0" applyFont="1" applyBorder="1"/>
    <xf numFmtId="0" fontId="0" fillId="0" borderId="0" xfId="0" applyProtection="1">
      <protection locked="0"/>
    </xf>
    <xf numFmtId="0" fontId="30" fillId="34" borderId="26" xfId="36" applyFont="1" applyFill="1" applyBorder="1" applyAlignment="1">
      <alignment horizontal="center"/>
    </xf>
    <xf numFmtId="14" fontId="0" fillId="0" borderId="0" xfId="0" applyNumberFormat="1" applyProtection="1">
      <protection locked="0"/>
    </xf>
    <xf numFmtId="0" fontId="71" fillId="0" borderId="0" xfId="0" applyFont="1" applyAlignment="1" applyProtection="1">
      <alignment horizontal="center"/>
      <protection locked="0"/>
    </xf>
    <xf numFmtId="0" fontId="71" fillId="0" borderId="0" xfId="0" applyFont="1" applyAlignment="1" applyProtection="1">
      <alignment horizontal="left"/>
      <protection locked="0"/>
    </xf>
    <xf numFmtId="0" fontId="17" fillId="0" borderId="0" xfId="0" applyFont="1" applyProtection="1">
      <protection locked="0"/>
    </xf>
    <xf numFmtId="0" fontId="4" fillId="0" borderId="2" xfId="4" applyAlignment="1">
      <alignment horizontal="center"/>
    </xf>
    <xf numFmtId="0" fontId="30" fillId="50" borderId="27" xfId="0" applyFont="1" applyFill="1" applyBorder="1"/>
    <xf numFmtId="0" fontId="30" fillId="34" borderId="29" xfId="0" applyFont="1" applyFill="1" applyBorder="1"/>
    <xf numFmtId="0" fontId="30" fillId="30" borderId="27" xfId="40" applyFont="1" applyBorder="1" applyAlignment="1">
      <alignment horizontal="center"/>
    </xf>
    <xf numFmtId="0" fontId="30" fillId="34" borderId="27" xfId="0" applyFont="1" applyFill="1" applyBorder="1"/>
    <xf numFmtId="0" fontId="30" fillId="14" borderId="29" xfId="24" applyFont="1" applyBorder="1" applyAlignment="1">
      <alignment horizontal="center"/>
    </xf>
    <xf numFmtId="0" fontId="30" fillId="40" borderId="29" xfId="0" applyFont="1" applyFill="1" applyBorder="1"/>
    <xf numFmtId="0" fontId="30" fillId="40" borderId="26" xfId="36" applyFont="1" applyFill="1" applyBorder="1" applyAlignment="1">
      <alignment horizontal="center"/>
    </xf>
    <xf numFmtId="14" fontId="30" fillId="34" borderId="26" xfId="0" applyNumberFormat="1" applyFont="1" applyFill="1" applyBorder="1"/>
    <xf numFmtId="14" fontId="30" fillId="50" borderId="26" xfId="0" applyNumberFormat="1" applyFont="1" applyFill="1" applyBorder="1"/>
    <xf numFmtId="0" fontId="87" fillId="43" borderId="92" xfId="19" applyFont="1" applyFill="1" applyBorder="1" applyAlignment="1" applyProtection="1">
      <alignment horizontal="center" vertical="center"/>
      <protection hidden="1"/>
    </xf>
    <xf numFmtId="0" fontId="87" fillId="43" borderId="92" xfId="19" applyFont="1" applyFill="1" applyBorder="1" applyAlignment="1" applyProtection="1">
      <alignment horizontal="right" vertical="center" wrapText="1"/>
      <protection hidden="1"/>
    </xf>
    <xf numFmtId="0" fontId="77" fillId="0" borderId="92" xfId="0" applyFont="1" applyBorder="1" applyAlignment="1" applyProtection="1">
      <alignment horizontal="center" vertical="center"/>
      <protection hidden="1"/>
    </xf>
    <xf numFmtId="171" fontId="77" fillId="0" borderId="92" xfId="0" applyNumberFormat="1" applyFont="1" applyBorder="1" applyAlignment="1" applyProtection="1">
      <alignment vertical="center"/>
      <protection hidden="1"/>
    </xf>
    <xf numFmtId="0" fontId="23" fillId="0" borderId="91" xfId="18" applyFont="1" applyBorder="1" applyAlignment="1" applyProtection="1">
      <alignment horizontal="center"/>
      <protection hidden="1"/>
    </xf>
    <xf numFmtId="0" fontId="23" fillId="0" borderId="91" xfId="18" applyFont="1" applyBorder="1" applyProtection="1">
      <protection hidden="1"/>
    </xf>
    <xf numFmtId="171" fontId="88" fillId="0" borderId="91" xfId="18" applyNumberFormat="1" applyFont="1" applyBorder="1" applyProtection="1">
      <protection hidden="1"/>
    </xf>
    <xf numFmtId="171" fontId="23" fillId="0" borderId="91" xfId="18" applyNumberFormat="1" applyFont="1" applyBorder="1" applyProtection="1">
      <protection hidden="1"/>
    </xf>
    <xf numFmtId="0" fontId="72" fillId="42" borderId="0" xfId="0" applyFont="1" applyFill="1" applyAlignment="1" applyProtection="1">
      <alignment horizontal="left"/>
      <protection locked="0"/>
    </xf>
    <xf numFmtId="0" fontId="43" fillId="0" borderId="11" xfId="0" applyFont="1" applyBorder="1" applyAlignment="1">
      <alignment horizontal="left" vertical="top" wrapText="1"/>
    </xf>
    <xf numFmtId="0" fontId="43" fillId="0" borderId="12" xfId="0" applyFont="1" applyBorder="1" applyAlignment="1">
      <alignment horizontal="left" vertical="top" wrapText="1"/>
    </xf>
    <xf numFmtId="0" fontId="43" fillId="0" borderId="13" xfId="0" applyFont="1" applyBorder="1" applyAlignment="1">
      <alignment horizontal="left" vertical="top" wrapText="1"/>
    </xf>
    <xf numFmtId="0" fontId="43" fillId="0" borderId="14" xfId="0" applyFont="1" applyBorder="1" applyAlignment="1">
      <alignment horizontal="left" vertical="top" wrapText="1"/>
    </xf>
    <xf numFmtId="0" fontId="31" fillId="29" borderId="26" xfId="39" applyFont="1" applyBorder="1" applyAlignment="1">
      <alignment horizontal="center"/>
    </xf>
    <xf numFmtId="0" fontId="31" fillId="13" borderId="26" xfId="23" applyFont="1" applyBorder="1" applyAlignment="1">
      <alignment horizontal="center"/>
    </xf>
    <xf numFmtId="0" fontId="32" fillId="9" borderId="32" xfId="19" applyFont="1" applyBorder="1" applyAlignment="1">
      <alignment horizontal="center"/>
    </xf>
    <xf numFmtId="0" fontId="32" fillId="9" borderId="30" xfId="19" applyFont="1" applyBorder="1" applyAlignment="1">
      <alignment horizontal="center"/>
    </xf>
    <xf numFmtId="0" fontId="32" fillId="9" borderId="0" xfId="19" applyFont="1" applyBorder="1" applyAlignment="1">
      <alignment horizontal="center"/>
    </xf>
    <xf numFmtId="0" fontId="32" fillId="43" borderId="26" xfId="19" applyFont="1" applyFill="1" applyBorder="1" applyAlignment="1">
      <alignment horizontal="center"/>
    </xf>
    <xf numFmtId="0" fontId="31" fillId="13" borderId="42" xfId="23" applyFont="1" applyBorder="1" applyAlignment="1">
      <alignment horizontal="center"/>
    </xf>
    <xf numFmtId="0" fontId="31" fillId="13" borderId="32" xfId="23" applyFont="1" applyBorder="1" applyAlignment="1">
      <alignment horizontal="center"/>
    </xf>
    <xf numFmtId="0" fontId="32" fillId="9" borderId="42" xfId="19" applyFont="1" applyBorder="1" applyAlignment="1">
      <alignment horizontal="center"/>
    </xf>
    <xf numFmtId="0" fontId="32" fillId="9" borderId="43" xfId="19" applyFont="1" applyBorder="1" applyAlignment="1">
      <alignment horizontal="center"/>
    </xf>
    <xf numFmtId="0" fontId="31" fillId="29" borderId="42" xfId="39" applyFont="1" applyBorder="1" applyAlignment="1">
      <alignment horizontal="center"/>
    </xf>
    <xf numFmtId="0" fontId="31" fillId="29" borderId="43" xfId="39" applyFont="1" applyBorder="1" applyAlignment="1">
      <alignment horizontal="center"/>
    </xf>
    <xf numFmtId="0" fontId="32" fillId="9" borderId="26" xfId="19" applyFont="1" applyBorder="1" applyAlignment="1">
      <alignment horizontal="center"/>
    </xf>
    <xf numFmtId="0" fontId="31" fillId="29" borderId="32" xfId="39" applyFont="1" applyBorder="1" applyAlignment="1">
      <alignment horizontal="center"/>
    </xf>
    <xf numFmtId="0" fontId="32" fillId="9" borderId="27" xfId="19" applyFont="1" applyBorder="1" applyAlignment="1">
      <alignment horizontal="center"/>
    </xf>
    <xf numFmtId="0" fontId="32" fillId="9" borderId="28" xfId="19" applyFont="1" applyBorder="1" applyAlignment="1">
      <alignment horizontal="center"/>
    </xf>
    <xf numFmtId="0" fontId="32" fillId="9" borderId="29" xfId="19" applyFont="1" applyBorder="1" applyAlignment="1">
      <alignment horizontal="center"/>
    </xf>
    <xf numFmtId="0" fontId="31" fillId="13" borderId="27" xfId="23" applyFont="1" applyBorder="1" applyAlignment="1">
      <alignment horizontal="center"/>
    </xf>
    <xf numFmtId="0" fontId="31" fillId="13" borderId="29" xfId="23" applyFont="1" applyBorder="1" applyAlignment="1">
      <alignment horizontal="center"/>
    </xf>
    <xf numFmtId="0" fontId="31" fillId="29" borderId="27" xfId="39" applyFont="1" applyBorder="1" applyAlignment="1">
      <alignment horizontal="center"/>
    </xf>
    <xf numFmtId="0" fontId="31" fillId="29" borderId="29" xfId="39" applyFont="1" applyBorder="1" applyAlignment="1">
      <alignment horizontal="center"/>
    </xf>
    <xf numFmtId="0" fontId="31" fillId="29" borderId="30" xfId="39" applyFont="1" applyBorder="1" applyAlignment="1">
      <alignment horizontal="center"/>
    </xf>
    <xf numFmtId="0" fontId="31" fillId="29" borderId="0" xfId="39" applyFont="1" applyBorder="1" applyAlignment="1">
      <alignment horizontal="center"/>
    </xf>
    <xf numFmtId="0" fontId="31" fillId="13" borderId="30" xfId="23" applyFont="1" applyBorder="1" applyAlignment="1">
      <alignment horizontal="center"/>
    </xf>
    <xf numFmtId="0" fontId="31" fillId="13" borderId="0" xfId="23" applyFont="1" applyBorder="1" applyAlignment="1">
      <alignment horizontal="center"/>
    </xf>
    <xf numFmtId="0" fontId="77" fillId="0" borderId="92" xfId="0" applyFont="1" applyBorder="1" applyAlignment="1" applyProtection="1">
      <alignment horizontal="left" vertical="center" wrapText="1"/>
      <protection hidden="1"/>
    </xf>
    <xf numFmtId="0" fontId="87" fillId="43" borderId="92" xfId="19" applyFont="1" applyFill="1" applyBorder="1" applyAlignment="1" applyProtection="1">
      <alignment horizontal="center" vertical="center"/>
      <protection hidden="1"/>
    </xf>
    <xf numFmtId="0" fontId="24" fillId="0" borderId="0" xfId="0" applyFont="1" applyAlignment="1">
      <alignment horizontal="left"/>
    </xf>
    <xf numFmtId="0" fontId="0" fillId="0" borderId="0" xfId="0" applyAlignment="1">
      <alignment horizontal="left"/>
    </xf>
    <xf numFmtId="170" fontId="24" fillId="0" borderId="94" xfId="0" applyNumberFormat="1" applyFont="1" applyBorder="1" applyAlignment="1">
      <alignment horizontal="left"/>
    </xf>
    <xf numFmtId="0" fontId="34" fillId="0" borderId="31" xfId="18" applyFont="1" applyBorder="1" applyAlignment="1">
      <alignment horizontal="left"/>
    </xf>
    <xf numFmtId="0" fontId="39" fillId="0" borderId="0" xfId="2" applyFont="1" applyBorder="1" applyAlignment="1">
      <alignment horizontal="center" vertical="top"/>
    </xf>
    <xf numFmtId="0" fontId="38" fillId="0" borderId="18" xfId="2" applyFont="1" applyBorder="1" applyAlignment="1" applyProtection="1">
      <alignment horizontal="center" vertical="center"/>
    </xf>
    <xf numFmtId="0" fontId="38" fillId="0" borderId="0" xfId="2" applyFont="1" applyBorder="1" applyAlignment="1" applyProtection="1">
      <alignment horizontal="center" vertical="center"/>
    </xf>
    <xf numFmtId="0" fontId="38" fillId="0" borderId="19" xfId="2" applyFont="1" applyBorder="1" applyAlignment="1" applyProtection="1">
      <alignment horizontal="center" vertical="center"/>
    </xf>
    <xf numFmtId="0" fontId="39" fillId="0" borderId="18" xfId="0" applyFont="1" applyBorder="1" applyAlignment="1">
      <alignment horizontal="center" vertical="center"/>
    </xf>
    <xf numFmtId="0" fontId="39" fillId="0" borderId="0" xfId="0" applyFont="1" applyAlignment="1">
      <alignment horizontal="center" vertical="center"/>
    </xf>
    <xf numFmtId="0" fontId="39" fillId="0" borderId="19" xfId="0" applyFont="1" applyBorder="1" applyAlignment="1">
      <alignment horizontal="center" vertical="center"/>
    </xf>
    <xf numFmtId="0" fontId="25" fillId="0" borderId="18" xfId="0" applyFont="1" applyBorder="1" applyAlignment="1">
      <alignment horizontal="right" vertical="center"/>
    </xf>
    <xf numFmtId="0" fontId="25" fillId="0" borderId="0" xfId="0" applyFont="1" applyAlignment="1">
      <alignment horizontal="right" vertical="center"/>
    </xf>
    <xf numFmtId="0" fontId="28" fillId="0" borderId="20" xfId="0" applyFont="1" applyBorder="1" applyAlignment="1" applyProtection="1">
      <alignment horizontal="left"/>
      <protection locked="0"/>
    </xf>
    <xf numFmtId="0" fontId="28" fillId="0" borderId="21" xfId="0" applyFont="1" applyBorder="1" applyAlignment="1" applyProtection="1">
      <alignment horizontal="left"/>
      <protection locked="0"/>
    </xf>
    <xf numFmtId="0" fontId="28" fillId="0" borderId="22" xfId="0" applyFont="1" applyBorder="1" applyAlignment="1" applyProtection="1">
      <alignment horizontal="left"/>
      <protection locked="0"/>
    </xf>
    <xf numFmtId="0" fontId="79" fillId="41" borderId="39" xfId="0" applyFont="1" applyFill="1" applyBorder="1" applyAlignment="1">
      <alignment horizontal="center" vertical="center"/>
    </xf>
    <xf numFmtId="0" fontId="79" fillId="41" borderId="40" xfId="0" applyFont="1" applyFill="1" applyBorder="1" applyAlignment="1">
      <alignment horizontal="center" vertical="center"/>
    </xf>
    <xf numFmtId="0" fontId="79" fillId="41" borderId="41" xfId="0" applyFont="1" applyFill="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xf numFmtId="0" fontId="20" fillId="0" borderId="0" xfId="0" applyFont="1" applyAlignment="1">
      <alignment horizontal="left"/>
    </xf>
    <xf numFmtId="0" fontId="19" fillId="0" borderId="0" xfId="0" applyFont="1" applyAlignment="1">
      <alignment horizontal="center"/>
    </xf>
    <xf numFmtId="0" fontId="70" fillId="0" borderId="0" xfId="0" applyFont="1" applyAlignment="1">
      <alignment horizontal="center"/>
    </xf>
    <xf numFmtId="0" fontId="44" fillId="42" borderId="0" xfId="0" applyFont="1" applyFill="1" applyAlignment="1">
      <alignment horizontal="left"/>
    </xf>
    <xf numFmtId="0" fontId="47" fillId="42" borderId="0" xfId="0" applyFont="1" applyFill="1" applyAlignment="1">
      <alignment horizontal="left"/>
    </xf>
    <xf numFmtId="0" fontId="57" fillId="45" borderId="0" xfId="0" applyFont="1" applyFill="1" applyAlignment="1">
      <alignment horizontal="center"/>
    </xf>
    <xf numFmtId="0" fontId="17" fillId="37" borderId="30" xfId="0" applyFont="1" applyFill="1" applyBorder="1"/>
    <xf numFmtId="0" fontId="17" fillId="37" borderId="0" xfId="0" applyFont="1" applyFill="1"/>
    <xf numFmtId="0" fontId="17" fillId="36" borderId="30" xfId="0" applyFont="1" applyFill="1" applyBorder="1"/>
    <xf numFmtId="0" fontId="17" fillId="36" borderId="0" xfId="0" applyFont="1" applyFill="1"/>
    <xf numFmtId="0" fontId="17" fillId="35" borderId="30" xfId="0" applyFont="1" applyFill="1" applyBorder="1"/>
    <xf numFmtId="0" fontId="17" fillId="35" borderId="0" xfId="0" applyFont="1" applyFill="1"/>
    <xf numFmtId="0" fontId="17" fillId="43" borderId="30" xfId="0" applyFont="1" applyFill="1" applyBorder="1" applyAlignment="1">
      <alignment horizontal="left"/>
    </xf>
    <xf numFmtId="0" fontId="17" fillId="43" borderId="0" xfId="0" applyFont="1" applyFill="1" applyAlignment="1">
      <alignment horizontal="left"/>
    </xf>
    <xf numFmtId="0" fontId="67" fillId="0" borderId="0" xfId="0" applyFont="1" applyAlignment="1">
      <alignment horizont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32">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dd/mm/yyyy"/>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dd/mm/yyyy"/>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dd/mm/yyyy"/>
      <protection locked="0" hidden="0"/>
    </dxf>
    <dxf>
      <protection locked="0" hidden="0"/>
    </dxf>
    <dxf>
      <protection locked="0" hidden="0"/>
    </dxf>
    <dxf>
      <protection locked="0" hidden="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solidFill>
                  <a:schemeClr val="accent1">
                    <a:lumMod val="75000"/>
                  </a:schemeClr>
                </a:solidFill>
              </a:rPr>
              <a:t>Policies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'Tổng hợp 3 tháng'!$B$4</c:f>
              <c:strCache>
                <c:ptCount val="1"/>
                <c:pt idx="0">
                  <c:v>Số hợp đồng</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'Tổng hợp 3 tháng'!$A$5:$A$7</c:f>
              <c:strCache>
                <c:ptCount val="3"/>
                <c:pt idx="0">
                  <c:v>Tháng 1</c:v>
                </c:pt>
                <c:pt idx="1">
                  <c:v>Tháng 2</c:v>
                </c:pt>
                <c:pt idx="2">
                  <c:v>Tháng 3</c:v>
                </c:pt>
              </c:strCache>
            </c:strRef>
          </c:cat>
          <c:val>
            <c:numRef>
              <c:f>'Tổng hợp 3 tháng'!$B$5:$B$7</c:f>
              <c:numCache>
                <c:formatCode>General</c:formatCode>
                <c:ptCount val="3"/>
                <c:pt idx="0">
                  <c:v>8</c:v>
                </c:pt>
                <c:pt idx="1">
                  <c:v>12</c:v>
                </c:pt>
                <c:pt idx="2">
                  <c:v>9</c:v>
                </c:pt>
              </c:numCache>
            </c:numRef>
          </c:val>
          <c:extLst>
            <c:ext xmlns:c16="http://schemas.microsoft.com/office/drawing/2014/chart" uri="{C3380CC4-5D6E-409C-BE32-E72D297353CC}">
              <c16:uniqueId val="{00000001-3E45-4EDB-88CD-AD44A4B6C10B}"/>
            </c:ext>
          </c:extLst>
        </c:ser>
        <c:dLbls>
          <c:dLblPos val="inEnd"/>
          <c:showLegendKey val="0"/>
          <c:showVal val="1"/>
          <c:showCatName val="0"/>
          <c:showSerName val="0"/>
          <c:showPercent val="0"/>
          <c:showBubbleSize val="0"/>
        </c:dLbls>
        <c:gapWidth val="100"/>
        <c:overlap val="-24"/>
        <c:axId val="1757225968"/>
        <c:axId val="1757218896"/>
      </c:barChart>
      <c:catAx>
        <c:axId val="175722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757218896"/>
        <c:crosses val="autoZero"/>
        <c:auto val="1"/>
        <c:lblAlgn val="ctr"/>
        <c:lblOffset val="100"/>
        <c:noMultiLvlLbl val="0"/>
      </c:catAx>
      <c:valAx>
        <c:axId val="1757218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7572259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Số d</a:t>
            </a:r>
            <a:r>
              <a:rPr lang="vi-VN"/>
              <a:t>ư</a:t>
            </a:r>
            <a:r>
              <a:rPr lang="en-US"/>
              <a:t> tài khoản th</a:t>
            </a:r>
            <a:r>
              <a:rPr lang="vi-VN"/>
              <a:t>ường</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P1_backup!$K$7</c:f>
              <c:strCache>
                <c:ptCount val="1"/>
                <c:pt idx="0">
                  <c:v>123AN46</c:v>
                </c:pt>
              </c:strCache>
            </c:strRef>
          </c:tx>
          <c:spPr>
            <a:solidFill>
              <a:schemeClr val="accent1"/>
            </a:solidFill>
            <a:ln>
              <a:noFill/>
            </a:ln>
            <a:effectLst/>
          </c:spPr>
          <c:invertIfNegative val="0"/>
          <c:cat>
            <c:strRef>
              <c:f>P1_backup!$L$6:$M$6</c:f>
              <c:strCache>
                <c:ptCount val="2"/>
                <c:pt idx="0">
                  <c:v>Số dư mở thẻ</c:v>
                </c:pt>
                <c:pt idx="1">
                  <c:v>Số dư hiện tại</c:v>
                </c:pt>
              </c:strCache>
            </c:strRef>
          </c:cat>
          <c:val>
            <c:numRef>
              <c:f>P1_backup!$L$7:$M$7</c:f>
              <c:numCache>
                <c:formatCode>_("$"* #,##0_);_("$"* \(#,##0\);_("$"* "-"??_);_(@_)</c:formatCode>
                <c:ptCount val="2"/>
                <c:pt idx="0">
                  <c:v>2023</c:v>
                </c:pt>
                <c:pt idx="1">
                  <c:v>3661</c:v>
                </c:pt>
              </c:numCache>
            </c:numRef>
          </c:val>
          <c:extLst>
            <c:ext xmlns:c16="http://schemas.microsoft.com/office/drawing/2014/chart" uri="{C3380CC4-5D6E-409C-BE32-E72D297353CC}">
              <c16:uniqueId val="{00000000-8722-4BE0-BEFF-CFC8C446AEEE}"/>
            </c:ext>
          </c:extLst>
        </c:ser>
        <c:ser>
          <c:idx val="1"/>
          <c:order val="1"/>
          <c:tx>
            <c:strRef>
              <c:f>P1_backup!$K$8</c:f>
              <c:strCache>
                <c:ptCount val="1"/>
                <c:pt idx="0">
                  <c:v>123AN47</c:v>
                </c:pt>
              </c:strCache>
            </c:strRef>
          </c:tx>
          <c:spPr>
            <a:solidFill>
              <a:schemeClr val="accent2"/>
            </a:solidFill>
            <a:ln>
              <a:noFill/>
            </a:ln>
            <a:effectLst/>
          </c:spPr>
          <c:invertIfNegative val="0"/>
          <c:cat>
            <c:strRef>
              <c:f>P1_backup!$L$6:$M$6</c:f>
              <c:strCache>
                <c:ptCount val="2"/>
                <c:pt idx="0">
                  <c:v>Số dư mở thẻ</c:v>
                </c:pt>
                <c:pt idx="1">
                  <c:v>Số dư hiện tại</c:v>
                </c:pt>
              </c:strCache>
            </c:strRef>
          </c:cat>
          <c:val>
            <c:numRef>
              <c:f>P1_backup!$L$8:$M$8</c:f>
              <c:numCache>
                <c:formatCode>_("$"* #,##0_);_("$"* \(#,##0\);_("$"* "-"??_);_(@_)</c:formatCode>
                <c:ptCount val="2"/>
                <c:pt idx="0">
                  <c:v>1059</c:v>
                </c:pt>
                <c:pt idx="1">
                  <c:v>2472</c:v>
                </c:pt>
              </c:numCache>
            </c:numRef>
          </c:val>
          <c:extLst>
            <c:ext xmlns:c16="http://schemas.microsoft.com/office/drawing/2014/chart" uri="{C3380CC4-5D6E-409C-BE32-E72D297353CC}">
              <c16:uniqueId val="{00000001-8722-4BE0-BEFF-CFC8C446AEEE}"/>
            </c:ext>
          </c:extLst>
        </c:ser>
        <c:ser>
          <c:idx val="2"/>
          <c:order val="2"/>
          <c:tx>
            <c:strRef>
              <c:f>P1_backup!$K$9</c:f>
              <c:strCache>
                <c:ptCount val="1"/>
                <c:pt idx="0">
                  <c:v>123AN48</c:v>
                </c:pt>
              </c:strCache>
            </c:strRef>
          </c:tx>
          <c:spPr>
            <a:solidFill>
              <a:schemeClr val="accent3"/>
            </a:solidFill>
            <a:ln>
              <a:noFill/>
            </a:ln>
            <a:effectLst/>
          </c:spPr>
          <c:invertIfNegative val="0"/>
          <c:cat>
            <c:strRef>
              <c:f>P1_backup!$L$6:$M$6</c:f>
              <c:strCache>
                <c:ptCount val="2"/>
                <c:pt idx="0">
                  <c:v>Số dư mở thẻ</c:v>
                </c:pt>
                <c:pt idx="1">
                  <c:v>Số dư hiện tại</c:v>
                </c:pt>
              </c:strCache>
            </c:strRef>
          </c:cat>
          <c:val>
            <c:numRef>
              <c:f>P1_backup!$L$9:$M$9</c:f>
              <c:numCache>
                <c:formatCode>_("$"* #,##0_);_("$"* \(#,##0\);_("$"* "-"??_);_(@_)</c:formatCode>
                <c:ptCount val="2"/>
                <c:pt idx="0">
                  <c:v>1067</c:v>
                </c:pt>
                <c:pt idx="1">
                  <c:v>2593</c:v>
                </c:pt>
              </c:numCache>
            </c:numRef>
          </c:val>
          <c:extLst>
            <c:ext xmlns:c16="http://schemas.microsoft.com/office/drawing/2014/chart" uri="{C3380CC4-5D6E-409C-BE32-E72D297353CC}">
              <c16:uniqueId val="{00000000-ECF6-4433-89C3-ADB6A9CAE992}"/>
            </c:ext>
          </c:extLst>
        </c:ser>
        <c:ser>
          <c:idx val="3"/>
          <c:order val="3"/>
          <c:tx>
            <c:strRef>
              <c:f>P1_backup!$K$10</c:f>
              <c:strCache>
                <c:ptCount val="1"/>
                <c:pt idx="0">
                  <c:v>123AN49</c:v>
                </c:pt>
              </c:strCache>
            </c:strRef>
          </c:tx>
          <c:spPr>
            <a:solidFill>
              <a:schemeClr val="accent4"/>
            </a:solidFill>
            <a:ln>
              <a:noFill/>
            </a:ln>
            <a:effectLst/>
          </c:spPr>
          <c:invertIfNegative val="0"/>
          <c:cat>
            <c:strRef>
              <c:f>P1_backup!$L$6:$M$6</c:f>
              <c:strCache>
                <c:ptCount val="2"/>
                <c:pt idx="0">
                  <c:v>Số dư mở thẻ</c:v>
                </c:pt>
                <c:pt idx="1">
                  <c:v>Số dư hiện tại</c:v>
                </c:pt>
              </c:strCache>
            </c:strRef>
          </c:cat>
          <c:val>
            <c:numRef>
              <c:f>P1_backup!$L$10:$M$10</c:f>
              <c:numCache>
                <c:formatCode>_("$"* #,##0_);_("$"* \(#,##0\);_("$"* "-"??_);_(@_)</c:formatCode>
                <c:ptCount val="2"/>
                <c:pt idx="0">
                  <c:v>1232</c:v>
                </c:pt>
                <c:pt idx="1">
                  <c:v>2600</c:v>
                </c:pt>
              </c:numCache>
            </c:numRef>
          </c:val>
          <c:extLst>
            <c:ext xmlns:c16="http://schemas.microsoft.com/office/drawing/2014/chart" uri="{C3380CC4-5D6E-409C-BE32-E72D297353CC}">
              <c16:uniqueId val="{00000001-ECF6-4433-89C3-ADB6A9CAE992}"/>
            </c:ext>
          </c:extLst>
        </c:ser>
        <c:ser>
          <c:idx val="4"/>
          <c:order val="4"/>
          <c:tx>
            <c:strRef>
              <c:f>P1_backup!$K$11</c:f>
              <c:strCache>
                <c:ptCount val="1"/>
                <c:pt idx="0">
                  <c:v>123AN50</c:v>
                </c:pt>
              </c:strCache>
            </c:strRef>
          </c:tx>
          <c:spPr>
            <a:solidFill>
              <a:schemeClr val="accent5"/>
            </a:solidFill>
            <a:ln>
              <a:noFill/>
            </a:ln>
            <a:effectLst/>
          </c:spPr>
          <c:invertIfNegative val="0"/>
          <c:cat>
            <c:strRef>
              <c:f>P1_backup!$L$6:$M$6</c:f>
              <c:strCache>
                <c:ptCount val="2"/>
                <c:pt idx="0">
                  <c:v>Số dư mở thẻ</c:v>
                </c:pt>
                <c:pt idx="1">
                  <c:v>Số dư hiện tại</c:v>
                </c:pt>
              </c:strCache>
            </c:strRef>
          </c:cat>
          <c:val>
            <c:numRef>
              <c:f>P1_backup!$L$11:$M$11</c:f>
              <c:numCache>
                <c:formatCode>_("$"* #,##0_);_("$"* \(#,##0\);_("$"* "-"??_);_(@_)</c:formatCode>
                <c:ptCount val="2"/>
                <c:pt idx="0">
                  <c:v>1453</c:v>
                </c:pt>
                <c:pt idx="1">
                  <c:v>3302</c:v>
                </c:pt>
              </c:numCache>
            </c:numRef>
          </c:val>
          <c:extLst>
            <c:ext xmlns:c16="http://schemas.microsoft.com/office/drawing/2014/chart" uri="{C3380CC4-5D6E-409C-BE32-E72D297353CC}">
              <c16:uniqueId val="{00000002-ECF6-4433-89C3-ADB6A9CAE992}"/>
            </c:ext>
          </c:extLst>
        </c:ser>
        <c:ser>
          <c:idx val="5"/>
          <c:order val="5"/>
          <c:tx>
            <c:strRef>
              <c:f>P1_backup!$K$12</c:f>
              <c:strCache>
                <c:ptCount val="1"/>
                <c:pt idx="0">
                  <c:v>123AN51</c:v>
                </c:pt>
              </c:strCache>
            </c:strRef>
          </c:tx>
          <c:spPr>
            <a:solidFill>
              <a:schemeClr val="accent6"/>
            </a:solidFill>
            <a:ln>
              <a:noFill/>
            </a:ln>
            <a:effectLst/>
          </c:spPr>
          <c:invertIfNegative val="0"/>
          <c:cat>
            <c:strRef>
              <c:f>P1_backup!$L$6:$M$6</c:f>
              <c:strCache>
                <c:ptCount val="2"/>
                <c:pt idx="0">
                  <c:v>Số dư mở thẻ</c:v>
                </c:pt>
                <c:pt idx="1">
                  <c:v>Số dư hiện tại</c:v>
                </c:pt>
              </c:strCache>
            </c:strRef>
          </c:cat>
          <c:val>
            <c:numRef>
              <c:f>P1_backup!$L$12:$M$12</c:f>
              <c:numCache>
                <c:formatCode>_("$"* #,##0_);_("$"* \(#,##0\);_("$"* "-"??_);_(@_)</c:formatCode>
                <c:ptCount val="2"/>
                <c:pt idx="0">
                  <c:v>1572</c:v>
                </c:pt>
                <c:pt idx="1">
                  <c:v>3405</c:v>
                </c:pt>
              </c:numCache>
            </c:numRef>
          </c:val>
          <c:extLst>
            <c:ext xmlns:c16="http://schemas.microsoft.com/office/drawing/2014/chart" uri="{C3380CC4-5D6E-409C-BE32-E72D297353CC}">
              <c16:uniqueId val="{00000003-ECF6-4433-89C3-ADB6A9CAE992}"/>
            </c:ext>
          </c:extLst>
        </c:ser>
        <c:ser>
          <c:idx val="6"/>
          <c:order val="6"/>
          <c:tx>
            <c:strRef>
              <c:f>P1_backup!$K$13</c:f>
              <c:strCache>
                <c:ptCount val="1"/>
                <c:pt idx="0">
                  <c:v>123AN52</c:v>
                </c:pt>
              </c:strCache>
            </c:strRef>
          </c:tx>
          <c:spPr>
            <a:solidFill>
              <a:schemeClr val="accent1">
                <a:lumMod val="60000"/>
              </a:schemeClr>
            </a:solidFill>
            <a:ln>
              <a:noFill/>
            </a:ln>
            <a:effectLst/>
          </c:spPr>
          <c:invertIfNegative val="0"/>
          <c:cat>
            <c:strRef>
              <c:f>P1_backup!$L$6:$M$6</c:f>
              <c:strCache>
                <c:ptCount val="2"/>
                <c:pt idx="0">
                  <c:v>Số dư mở thẻ</c:v>
                </c:pt>
                <c:pt idx="1">
                  <c:v>Số dư hiện tại</c:v>
                </c:pt>
              </c:strCache>
            </c:strRef>
          </c:cat>
          <c:val>
            <c:numRef>
              <c:f>P1_backup!$L$13:$M$13</c:f>
              <c:numCache>
                <c:formatCode>_("$"* #,##0_);_("$"* \(#,##0\);_("$"* "-"??_);_(@_)</c:formatCode>
                <c:ptCount val="2"/>
                <c:pt idx="0">
                  <c:v>1724</c:v>
                </c:pt>
                <c:pt idx="1">
                  <c:v>3591</c:v>
                </c:pt>
              </c:numCache>
            </c:numRef>
          </c:val>
          <c:extLst>
            <c:ext xmlns:c16="http://schemas.microsoft.com/office/drawing/2014/chart" uri="{C3380CC4-5D6E-409C-BE32-E72D297353CC}">
              <c16:uniqueId val="{00000004-ECF6-4433-89C3-ADB6A9CAE992}"/>
            </c:ext>
          </c:extLst>
        </c:ser>
        <c:ser>
          <c:idx val="7"/>
          <c:order val="7"/>
          <c:tx>
            <c:strRef>
              <c:f>P1_backup!$K$14</c:f>
              <c:strCache>
                <c:ptCount val="1"/>
                <c:pt idx="0">
                  <c:v>123AN53</c:v>
                </c:pt>
              </c:strCache>
            </c:strRef>
          </c:tx>
          <c:spPr>
            <a:solidFill>
              <a:schemeClr val="accent2">
                <a:lumMod val="60000"/>
              </a:schemeClr>
            </a:solidFill>
            <a:ln>
              <a:noFill/>
            </a:ln>
            <a:effectLst/>
          </c:spPr>
          <c:invertIfNegative val="0"/>
          <c:cat>
            <c:strRef>
              <c:f>P1_backup!$L$6:$M$6</c:f>
              <c:strCache>
                <c:ptCount val="2"/>
                <c:pt idx="0">
                  <c:v>Số dư mở thẻ</c:v>
                </c:pt>
                <c:pt idx="1">
                  <c:v>Số dư hiện tại</c:v>
                </c:pt>
              </c:strCache>
            </c:strRef>
          </c:cat>
          <c:val>
            <c:numRef>
              <c:f>P1_backup!$L$14:$M$14</c:f>
              <c:numCache>
                <c:formatCode>_("$"* #,##0_);_("$"* \(#,##0\);_("$"* "-"??_);_(@_)</c:formatCode>
                <c:ptCount val="2"/>
                <c:pt idx="0">
                  <c:v>2003</c:v>
                </c:pt>
                <c:pt idx="1">
                  <c:v>3880</c:v>
                </c:pt>
              </c:numCache>
            </c:numRef>
          </c:val>
          <c:extLst>
            <c:ext xmlns:c16="http://schemas.microsoft.com/office/drawing/2014/chart" uri="{C3380CC4-5D6E-409C-BE32-E72D297353CC}">
              <c16:uniqueId val="{00000005-ECF6-4433-89C3-ADB6A9CAE992}"/>
            </c:ext>
          </c:extLst>
        </c:ser>
        <c:dLbls>
          <c:showLegendKey val="0"/>
          <c:showVal val="0"/>
          <c:showCatName val="0"/>
          <c:showSerName val="0"/>
          <c:showPercent val="0"/>
          <c:showBubbleSize val="0"/>
        </c:dLbls>
        <c:gapWidth val="219"/>
        <c:overlap val="-27"/>
        <c:axId val="794780479"/>
        <c:axId val="794781311"/>
      </c:barChart>
      <c:catAx>
        <c:axId val="794780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781311"/>
        <c:crosses val="autoZero"/>
        <c:auto val="1"/>
        <c:lblAlgn val="ctr"/>
        <c:lblOffset val="100"/>
        <c:noMultiLvlLbl val="0"/>
      </c:catAx>
      <c:valAx>
        <c:axId val="79478131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7804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solidFill>
                  <a:schemeClr val="accent1">
                    <a:lumMod val="75000"/>
                  </a:schemeClr>
                </a:solidFill>
              </a:rPr>
              <a:t>Policies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P2_backup!$AD$7</c:f>
              <c:strCache>
                <c:ptCount val="1"/>
                <c:pt idx="0">
                  <c:v>Số hợp đồng</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P2_backup!$AC$8:$AC$10</c:f>
              <c:strCache>
                <c:ptCount val="3"/>
                <c:pt idx="0">
                  <c:v>Tháng 1</c:v>
                </c:pt>
                <c:pt idx="1">
                  <c:v>Tháng 2</c:v>
                </c:pt>
                <c:pt idx="2">
                  <c:v>Tháng 3</c:v>
                </c:pt>
              </c:strCache>
            </c:strRef>
          </c:cat>
          <c:val>
            <c:numRef>
              <c:f>P2_backup!$AD$8:$AD$10</c:f>
              <c:numCache>
                <c:formatCode>General</c:formatCode>
                <c:ptCount val="3"/>
                <c:pt idx="0">
                  <c:v>8</c:v>
                </c:pt>
                <c:pt idx="1">
                  <c:v>12</c:v>
                </c:pt>
                <c:pt idx="2">
                  <c:v>9</c:v>
                </c:pt>
              </c:numCache>
            </c:numRef>
          </c:val>
          <c:extLst>
            <c:ext xmlns:c16="http://schemas.microsoft.com/office/drawing/2014/chart" uri="{C3380CC4-5D6E-409C-BE32-E72D297353CC}">
              <c16:uniqueId val="{00000000-1936-4AEB-A8DD-6FD31D1179F3}"/>
            </c:ext>
          </c:extLst>
        </c:ser>
        <c:dLbls>
          <c:dLblPos val="inEnd"/>
          <c:showLegendKey val="0"/>
          <c:showVal val="1"/>
          <c:showCatName val="0"/>
          <c:showSerName val="0"/>
          <c:showPercent val="0"/>
          <c:showBubbleSize val="0"/>
        </c:dLbls>
        <c:gapWidth val="100"/>
        <c:overlap val="-24"/>
        <c:axId val="1757225968"/>
        <c:axId val="1757218896"/>
      </c:barChart>
      <c:catAx>
        <c:axId val="175722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757218896"/>
        <c:crosses val="autoZero"/>
        <c:auto val="1"/>
        <c:lblAlgn val="ctr"/>
        <c:lblOffset val="100"/>
        <c:noMultiLvlLbl val="0"/>
      </c:catAx>
      <c:valAx>
        <c:axId val="1757218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7572259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32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US" sz="3200" b="0" cap="none" spc="0">
                <a:ln w="0"/>
                <a:solidFill>
                  <a:schemeClr val="tx1"/>
                </a:solidFill>
                <a:effectLst>
                  <a:outerShdw blurRad="38100" dist="19050" dir="2700000" algn="tl" rotWithShape="0">
                    <a:schemeClr val="dk1">
                      <a:alpha val="40000"/>
                    </a:schemeClr>
                  </a:outerShdw>
                </a:effectLst>
              </a:rPr>
              <a:t>Điểm tổng</a:t>
            </a:r>
          </a:p>
        </c:rich>
      </c:tx>
      <c:overlay val="0"/>
      <c:spPr>
        <a:noFill/>
        <a:ln>
          <a:noFill/>
        </a:ln>
        <a:effectLst/>
      </c:spPr>
      <c:txPr>
        <a:bodyPr rot="0" spcFirstLastPara="1" vertOverflow="ellipsis" vert="horz" wrap="square" anchor="ctr" anchorCtr="1"/>
        <a:lstStyle/>
        <a:p>
          <a:pPr>
            <a:defRPr sz="32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845-40EB-B5EF-33968C49A63E}"/>
            </c:ext>
          </c:extLst>
        </c:ser>
        <c:dLbls>
          <c:showLegendKey val="0"/>
          <c:showVal val="0"/>
          <c:showCatName val="0"/>
          <c:showSerName val="0"/>
          <c:showPercent val="0"/>
          <c:showBubbleSize val="0"/>
        </c:dLbls>
        <c:gapWidth val="219"/>
        <c:overlap val="-27"/>
        <c:axId val="1650019983"/>
        <c:axId val="2061063647"/>
      </c:barChart>
      <c:catAx>
        <c:axId val="1650019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1063647"/>
        <c:crosses val="autoZero"/>
        <c:auto val="1"/>
        <c:lblAlgn val="ctr"/>
        <c:lblOffset val="100"/>
        <c:noMultiLvlLbl val="0"/>
      </c:catAx>
      <c:valAx>
        <c:axId val="2061063647"/>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6500199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Tổng kết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P4_backup!$U$6</c:f>
              <c:strCache>
                <c:ptCount val="1"/>
                <c:pt idx="0">
                  <c:v>Học sinh</c:v>
                </c:pt>
              </c:strCache>
            </c:strRef>
          </c:tx>
          <c:dPt>
            <c:idx val="0"/>
            <c:bubble3D val="0"/>
            <c:spPr>
              <a:solidFill>
                <a:schemeClr val="accent2">
                  <a:shade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911-4B94-AAD9-1E17F165902A}"/>
              </c:ext>
            </c:extLst>
          </c:dPt>
          <c:dPt>
            <c:idx val="1"/>
            <c:bubble3D val="0"/>
            <c:spPr>
              <a:solidFill>
                <a:schemeClr val="accent2">
                  <a:shade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911-4B94-AAD9-1E17F165902A}"/>
              </c:ext>
            </c:extLst>
          </c:dPt>
          <c:dPt>
            <c:idx val="2"/>
            <c:bubble3D val="0"/>
            <c:spPr>
              <a:solidFill>
                <a:schemeClr val="accent2">
                  <a:tint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911-4B94-AAD9-1E17F165902A}"/>
              </c:ext>
            </c:extLst>
          </c:dPt>
          <c:dPt>
            <c:idx val="3"/>
            <c:bubble3D val="0"/>
            <c:spPr>
              <a:solidFill>
                <a:schemeClr val="accent2">
                  <a:tint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911-4B94-AAD9-1E17F165902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P4_backup!$T$7:$T$10</c:f>
              <c:strCache>
                <c:ptCount val="4"/>
                <c:pt idx="0">
                  <c:v>Giữa HK 1</c:v>
                </c:pt>
                <c:pt idx="1">
                  <c:v>Cuối HK 1</c:v>
                </c:pt>
                <c:pt idx="2">
                  <c:v>Giữa HK 2</c:v>
                </c:pt>
                <c:pt idx="3">
                  <c:v>Cuối HK 2</c:v>
                </c:pt>
              </c:strCache>
            </c:strRef>
          </c:cat>
          <c:val>
            <c:numRef>
              <c:f>P4_backup!$U$7:$U$10</c:f>
              <c:numCache>
                <c:formatCode>General</c:formatCode>
                <c:ptCount val="4"/>
                <c:pt idx="0">
                  <c:v>220</c:v>
                </c:pt>
                <c:pt idx="1">
                  <c:v>280</c:v>
                </c:pt>
                <c:pt idx="2">
                  <c:v>180</c:v>
                </c:pt>
                <c:pt idx="3">
                  <c:v>150</c:v>
                </c:pt>
              </c:numCache>
            </c:numRef>
          </c:val>
          <c:extLst>
            <c:ext xmlns:c16="http://schemas.microsoft.com/office/drawing/2014/chart" uri="{C3380CC4-5D6E-409C-BE32-E72D297353CC}">
              <c16:uniqueId val="{00000008-8911-4B94-AAD9-1E17F165902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US"/>
              <a:t>Biểu đồ giờ học trong tuần</a:t>
            </a:r>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lotArea>
      <c:layout/>
      <c:barChart>
        <c:barDir val="col"/>
        <c:grouping val="clustered"/>
        <c:varyColors val="0"/>
        <c:ser>
          <c:idx val="0"/>
          <c:order val="0"/>
          <c:spPr>
            <a:gradFill>
              <a:gsLst>
                <a:gs pos="0">
                  <a:schemeClr val="accent2"/>
                </a:gs>
                <a:gs pos="100000">
                  <a:schemeClr val="accent2">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P4_backup!$AE$7:$AI$7</c:f>
              <c:strCache>
                <c:ptCount val="5"/>
                <c:pt idx="0">
                  <c:v>Thứ hai</c:v>
                </c:pt>
                <c:pt idx="1">
                  <c:v>Thứ ba</c:v>
                </c:pt>
                <c:pt idx="2">
                  <c:v>Thứ tư</c:v>
                </c:pt>
                <c:pt idx="3">
                  <c:v>Thứ năm</c:v>
                </c:pt>
                <c:pt idx="4">
                  <c:v>Thứ sáu</c:v>
                </c:pt>
              </c:strCache>
            </c:strRef>
          </c:cat>
          <c:val>
            <c:numRef>
              <c:f>P4_backup!$AE$8:$AI$8</c:f>
              <c:numCache>
                <c:formatCode>General</c:formatCode>
                <c:ptCount val="5"/>
                <c:pt idx="0">
                  <c:v>6</c:v>
                </c:pt>
                <c:pt idx="1">
                  <c:v>8</c:v>
                </c:pt>
                <c:pt idx="2">
                  <c:v>5</c:v>
                </c:pt>
                <c:pt idx="3">
                  <c:v>8</c:v>
                </c:pt>
                <c:pt idx="4">
                  <c:v>4</c:v>
                </c:pt>
              </c:numCache>
            </c:numRef>
          </c:val>
          <c:extLst>
            <c:ext xmlns:c16="http://schemas.microsoft.com/office/drawing/2014/chart" uri="{C3380CC4-5D6E-409C-BE32-E72D297353CC}">
              <c16:uniqueId val="{00000000-8D65-4BF8-A04D-16AFD1A7627E}"/>
            </c:ext>
          </c:extLst>
        </c:ser>
        <c:dLbls>
          <c:dLblPos val="inEnd"/>
          <c:showLegendKey val="0"/>
          <c:showVal val="1"/>
          <c:showCatName val="0"/>
          <c:showSerName val="0"/>
          <c:showPercent val="0"/>
          <c:showBubbleSize val="0"/>
        </c:dLbls>
        <c:gapWidth val="41"/>
        <c:axId val="2035382975"/>
        <c:axId val="2035375071"/>
      </c:barChart>
      <c:catAx>
        <c:axId val="20353829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2035375071"/>
        <c:crosses val="autoZero"/>
        <c:auto val="1"/>
        <c:lblAlgn val="ctr"/>
        <c:lblOffset val="100"/>
        <c:noMultiLvlLbl val="0"/>
      </c:catAx>
      <c:valAx>
        <c:axId val="2035375071"/>
        <c:scaling>
          <c:orientation val="minMax"/>
        </c:scaling>
        <c:delete val="1"/>
        <c:axPos val="l"/>
        <c:numFmt formatCode="General" sourceLinked="1"/>
        <c:majorTickMark val="none"/>
        <c:minorTickMark val="none"/>
        <c:tickLblPos val="nextTo"/>
        <c:crossAx val="2035382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Doanh thu theo</a:t>
            </a:r>
            <a:r>
              <a:rPr lang="en-US" baseline="0"/>
              <a:t> các mã sản phẩm</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P5_backup!$E$7</c:f>
              <c:strCache>
                <c:ptCount val="1"/>
                <c:pt idx="0">
                  <c:v>Doanh thu</c:v>
                </c:pt>
              </c:strCache>
            </c:strRef>
          </c:tx>
          <c:spPr>
            <a:solidFill>
              <a:schemeClr val="accent1"/>
            </a:solidFill>
            <a:ln>
              <a:noFill/>
            </a:ln>
            <a:effectLst/>
          </c:spPr>
          <c:invertIfNegative val="0"/>
          <c:cat>
            <c:strRef>
              <c:f>P5_backup!$D$8:$D$21</c:f>
              <c:strCache>
                <c:ptCount val="14"/>
                <c:pt idx="0">
                  <c:v>A01</c:v>
                </c:pt>
                <c:pt idx="1">
                  <c:v>B01</c:v>
                </c:pt>
                <c:pt idx="2">
                  <c:v>C01</c:v>
                </c:pt>
                <c:pt idx="3">
                  <c:v>D01</c:v>
                </c:pt>
                <c:pt idx="4">
                  <c:v>A01</c:v>
                </c:pt>
                <c:pt idx="5">
                  <c:v>B01</c:v>
                </c:pt>
                <c:pt idx="6">
                  <c:v>C01</c:v>
                </c:pt>
                <c:pt idx="7">
                  <c:v>D01</c:v>
                </c:pt>
                <c:pt idx="8">
                  <c:v>A01</c:v>
                </c:pt>
                <c:pt idx="9">
                  <c:v>B01</c:v>
                </c:pt>
                <c:pt idx="10">
                  <c:v>C01</c:v>
                </c:pt>
                <c:pt idx="11">
                  <c:v>D01</c:v>
                </c:pt>
                <c:pt idx="12">
                  <c:v>E01</c:v>
                </c:pt>
                <c:pt idx="13">
                  <c:v>F01</c:v>
                </c:pt>
              </c:strCache>
            </c:strRef>
          </c:cat>
          <c:val>
            <c:numRef>
              <c:f>P5_backup!$E$8:$E$21</c:f>
              <c:numCache>
                <c:formatCode>_(* #,##0_);_(* \(#,##0\);_(* "-"??_);_(@_)</c:formatCode>
                <c:ptCount val="14"/>
                <c:pt idx="0">
                  <c:v>2298</c:v>
                </c:pt>
                <c:pt idx="1">
                  <c:v>1883</c:v>
                </c:pt>
                <c:pt idx="2">
                  <c:v>2286</c:v>
                </c:pt>
                <c:pt idx="3">
                  <c:v>547</c:v>
                </c:pt>
                <c:pt idx="4">
                  <c:v>1241</c:v>
                </c:pt>
                <c:pt idx="5">
                  <c:v>612</c:v>
                </c:pt>
                <c:pt idx="6">
                  <c:v>1083</c:v>
                </c:pt>
                <c:pt idx="7">
                  <c:v>1036</c:v>
                </c:pt>
                <c:pt idx="8">
                  <c:v>8656</c:v>
                </c:pt>
                <c:pt idx="9">
                  <c:v>6446</c:v>
                </c:pt>
                <c:pt idx="10">
                  <c:v>5503</c:v>
                </c:pt>
                <c:pt idx="11">
                  <c:v>4357</c:v>
                </c:pt>
                <c:pt idx="12">
                  <c:v>4382</c:v>
                </c:pt>
                <c:pt idx="13">
                  <c:v>8687</c:v>
                </c:pt>
              </c:numCache>
            </c:numRef>
          </c:val>
          <c:extLst>
            <c:ext xmlns:c16="http://schemas.microsoft.com/office/drawing/2014/chart" uri="{C3380CC4-5D6E-409C-BE32-E72D297353CC}">
              <c16:uniqueId val="{00000000-1066-478F-8241-DE760D490436}"/>
            </c:ext>
          </c:extLst>
        </c:ser>
        <c:dLbls>
          <c:showLegendKey val="0"/>
          <c:showVal val="0"/>
          <c:showCatName val="0"/>
          <c:showSerName val="0"/>
          <c:showPercent val="0"/>
          <c:showBubbleSize val="0"/>
        </c:dLbls>
        <c:gapWidth val="219"/>
        <c:overlap val="-27"/>
        <c:axId val="1991357887"/>
        <c:axId val="1951219279"/>
      </c:barChart>
      <c:catAx>
        <c:axId val="1991357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1219279"/>
        <c:crosses val="autoZero"/>
        <c:auto val="1"/>
        <c:lblAlgn val="ctr"/>
        <c:lblOffset val="100"/>
        <c:noMultiLvlLbl val="0"/>
      </c:catAx>
      <c:valAx>
        <c:axId val="1951219279"/>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1357887"/>
        <c:crosses val="autoZero"/>
        <c:crossBetween val="between"/>
        <c:majorUnit val="2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vi-VN"/>
              <a:t>Số lượng</a:t>
            </a:r>
            <a:r>
              <a:rPr lang="en-US"/>
              <a:t> hàng tồn kho</a:t>
            </a:r>
            <a:endParaRPr lang="vi-V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0"/>
          <c:order val="0"/>
          <c:tx>
            <c:strRef>
              <c:f>P6_backup!$M$6</c:f>
              <c:strCache>
                <c:ptCount val="1"/>
                <c:pt idx="0">
                  <c:v>Số lượng</c:v>
                </c:pt>
              </c:strCache>
            </c:strRef>
          </c:tx>
          <c:spPr>
            <a:solidFill>
              <a:schemeClr val="accent4"/>
            </a:solidFill>
            <a:ln>
              <a:noFill/>
            </a:ln>
            <a:effectLst/>
          </c:spPr>
          <c:invertIfNegative val="0"/>
          <c:cat>
            <c:strRef>
              <c:f>P6_backup!$L$7:$L$10</c:f>
              <c:strCache>
                <c:ptCount val="4"/>
                <c:pt idx="0">
                  <c:v>Quạt cây</c:v>
                </c:pt>
                <c:pt idx="1">
                  <c:v>Điều hòa</c:v>
                </c:pt>
                <c:pt idx="2">
                  <c:v>Máy giặt</c:v>
                </c:pt>
                <c:pt idx="3">
                  <c:v>Lò vi sóng</c:v>
                </c:pt>
              </c:strCache>
            </c:strRef>
          </c:cat>
          <c:val>
            <c:numRef>
              <c:f>P6_backup!$M$7:$M$10</c:f>
              <c:numCache>
                <c:formatCode>General</c:formatCode>
                <c:ptCount val="4"/>
                <c:pt idx="0">
                  <c:v>412</c:v>
                </c:pt>
                <c:pt idx="1">
                  <c:v>264</c:v>
                </c:pt>
                <c:pt idx="2">
                  <c:v>70</c:v>
                </c:pt>
                <c:pt idx="3">
                  <c:v>36</c:v>
                </c:pt>
              </c:numCache>
            </c:numRef>
          </c:val>
          <c:extLst>
            <c:ext xmlns:c16="http://schemas.microsoft.com/office/drawing/2014/chart" uri="{C3380CC4-5D6E-409C-BE32-E72D297353CC}">
              <c16:uniqueId val="{00000000-7060-44B3-91EC-6C0BBAD0CB80}"/>
            </c:ext>
          </c:extLst>
        </c:ser>
        <c:dLbls>
          <c:showLegendKey val="0"/>
          <c:showVal val="0"/>
          <c:showCatName val="0"/>
          <c:showSerName val="0"/>
          <c:showPercent val="0"/>
          <c:showBubbleSize val="0"/>
        </c:dLbls>
        <c:gapWidth val="219"/>
        <c:overlap val="-27"/>
        <c:axId val="1011879520"/>
        <c:axId val="1011866624"/>
      </c:barChart>
      <c:catAx>
        <c:axId val="1011879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866624"/>
        <c:crosses val="autoZero"/>
        <c:auto val="1"/>
        <c:lblAlgn val="ctr"/>
        <c:lblOffset val="100"/>
        <c:noMultiLvlLbl val="0"/>
      </c:catAx>
      <c:valAx>
        <c:axId val="101186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8795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16</xdr:row>
      <xdr:rowOff>186690</xdr:rowOff>
    </xdr:from>
    <xdr:to>
      <xdr:col>29</xdr:col>
      <xdr:colOff>387825</xdr:colOff>
      <xdr:row>45</xdr:row>
      <xdr:rowOff>62190</xdr:rowOff>
    </xdr:to>
    <xdr:grpSp>
      <xdr:nvGrpSpPr>
        <xdr:cNvPr id="6" name="Group 5">
          <a:extLst>
            <a:ext uri="{FF2B5EF4-FFF2-40B4-BE49-F238E27FC236}">
              <a16:creationId xmlns:a16="http://schemas.microsoft.com/office/drawing/2014/main" id="{968538A6-1817-CE83-A971-6DCD1DF0EAA6}"/>
            </a:ext>
          </a:extLst>
        </xdr:cNvPr>
        <xdr:cNvGrpSpPr/>
      </xdr:nvGrpSpPr>
      <xdr:grpSpPr>
        <a:xfrm>
          <a:off x="0" y="3520440"/>
          <a:ext cx="21600000" cy="5400000"/>
          <a:chOff x="0" y="3453765"/>
          <a:chExt cx="21600000" cy="5400000"/>
        </a:xfrm>
      </xdr:grpSpPr>
      <xdr:sp macro="" textlink="'Đề bài'!B10">
        <xdr:nvSpPr>
          <xdr:cNvPr id="36" name="Background">
            <a:extLst>
              <a:ext uri="{FF2B5EF4-FFF2-40B4-BE49-F238E27FC236}">
                <a16:creationId xmlns:a16="http://schemas.microsoft.com/office/drawing/2014/main" id="{5D4062B3-B9EA-FB63-DE46-1B7437BC55F2}"/>
              </a:ext>
            </a:extLst>
          </xdr:cNvPr>
          <xdr:cNvSpPr/>
        </xdr:nvSpPr>
        <xdr:spPr>
          <a:xfrm>
            <a:off x="0" y="3453765"/>
            <a:ext cx="21600000" cy="54000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0" tIns="180000" rIns="36000" bIns="36000" rtlCol="0" anchor="t"/>
          <a:lstStyle/>
          <a:p>
            <a:pPr algn="l"/>
            <a:fld id="{F338756D-1763-447E-A917-06E34DE30660}" type="TxLink">
              <a:rPr lang="en-US" sz="1200" b="1" i="0" u="none" strike="noStrike" baseline="0">
                <a:solidFill>
                  <a:srgbClr val="000000"/>
                </a:solidFill>
                <a:latin typeface="Times New Roman" panose="02020603050405020304" pitchFamily="18" charset="0"/>
                <a:ea typeface="Calibri"/>
                <a:cs typeface="Times New Roman" panose="02020603050405020304" pitchFamily="18" charset="0"/>
              </a:rPr>
              <a:pPr algn="l"/>
              <a:t>Chủ đề: Bạn đang cập nhật dữ liệu gia hạn hợp đồng bảo hiểm xe ô tô cho tháng hiện tại</a:t>
            </a:fld>
            <a:endParaRPr lang="en-US" sz="1600" b="1">
              <a:solidFill>
                <a:sysClr val="windowText" lastClr="000000"/>
              </a:solidFill>
              <a:latin typeface="Times New Roman" panose="02020603050405020304" pitchFamily="18" charset="0"/>
              <a:cs typeface="Times New Roman" panose="02020603050405020304" pitchFamily="18" charset="0"/>
            </a:endParaRPr>
          </a:p>
        </xdr:txBody>
      </xdr:sp>
      <xdr:pic>
        <xdr:nvPicPr>
          <xdr:cNvPr id="37" name="Logo_IIG">
            <a:extLst>
              <a:ext uri="{FF2B5EF4-FFF2-40B4-BE49-F238E27FC236}">
                <a16:creationId xmlns:a16="http://schemas.microsoft.com/office/drawing/2014/main" id="{D299A135-E925-DCE4-3BD0-A8696F901B4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537" t="12234" r="16045" b="22340"/>
          <a:stretch>
            <a:fillRect/>
          </a:stretch>
        </xdr:blipFill>
        <xdr:spPr>
          <a:xfrm>
            <a:off x="105572" y="3531805"/>
            <a:ext cx="526424" cy="359700"/>
          </a:xfrm>
          <a:prstGeom prst="rect">
            <a:avLst/>
          </a:prstGeom>
        </xdr:spPr>
      </xdr:pic>
      <xdr:sp macro="[0]!Test_End" textlink="">
        <xdr:nvSpPr>
          <xdr:cNvPr id="38" name="NopBai">
            <a:extLst>
              <a:ext uri="{FF2B5EF4-FFF2-40B4-BE49-F238E27FC236}">
                <a16:creationId xmlns:a16="http://schemas.microsoft.com/office/drawing/2014/main" id="{EAF95498-C28C-9B2D-2250-2AF46750D8F5}"/>
              </a:ext>
            </a:extLst>
          </xdr:cNvPr>
          <xdr:cNvSpPr/>
        </xdr:nvSpPr>
        <xdr:spPr>
          <a:xfrm>
            <a:off x="5756978" y="4025510"/>
            <a:ext cx="1008000" cy="288000"/>
          </a:xfrm>
          <a:prstGeom prst="roundRect">
            <a:avLst/>
          </a:prstGeom>
          <a:solidFill>
            <a:srgbClr val="7030A0"/>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b="1">
                <a:latin typeface="Times New Roman" panose="02020603050405020304" pitchFamily="18" charset="0"/>
                <a:cs typeface="Times New Roman" panose="02020603050405020304" pitchFamily="18" charset="0"/>
              </a:rPr>
              <a:t>NỘP BÀI</a:t>
            </a:r>
          </a:p>
        </xdr:txBody>
      </xdr:sp>
      <xdr:sp macro="[0]!Project_Reset_Confirm" textlink="">
        <xdr:nvSpPr>
          <xdr:cNvPr id="3" name="Project_Reset">
            <a:extLst>
              <a:ext uri="{FF2B5EF4-FFF2-40B4-BE49-F238E27FC236}">
                <a16:creationId xmlns:a16="http://schemas.microsoft.com/office/drawing/2014/main" id="{E74F8659-F7AA-C037-AD1E-9965A6876922}"/>
              </a:ext>
            </a:extLst>
          </xdr:cNvPr>
          <xdr:cNvSpPr/>
        </xdr:nvSpPr>
        <xdr:spPr>
          <a:xfrm>
            <a:off x="4538617" y="4025510"/>
            <a:ext cx="1008000" cy="288000"/>
          </a:xfrm>
          <a:prstGeom prst="roundRect">
            <a:avLst/>
          </a:prstGeom>
          <a:solidFill>
            <a:schemeClr val="accent6"/>
          </a:solidFill>
          <a:ln>
            <a:solidFill>
              <a:schemeClr val="bg1">
                <a:lumMod val="6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b="1">
                <a:latin typeface="Times New Roman" panose="02020603050405020304" pitchFamily="18" charset="0"/>
                <a:cs typeface="Times New Roman" panose="02020603050405020304" pitchFamily="18" charset="0"/>
              </a:rPr>
              <a:t>LÀM LẠI</a:t>
            </a:r>
          </a:p>
        </xdr:txBody>
      </xdr:sp>
      <xdr:sp macro="[0]!Task1_Selected" textlink="">
        <xdr:nvSpPr>
          <xdr:cNvPr id="24" name="Task1">
            <a:extLst>
              <a:ext uri="{FF2B5EF4-FFF2-40B4-BE49-F238E27FC236}">
                <a16:creationId xmlns:a16="http://schemas.microsoft.com/office/drawing/2014/main" id="{EE9071D5-C82F-0154-1183-251443AFEC59}"/>
              </a:ext>
            </a:extLst>
          </xdr:cNvPr>
          <xdr:cNvSpPr/>
        </xdr:nvSpPr>
        <xdr:spPr>
          <a:xfrm>
            <a:off x="134745" y="4026566"/>
            <a:ext cx="684000" cy="288000"/>
          </a:xfrm>
          <a:prstGeom prst="roundRect">
            <a:avLst/>
          </a:prstGeom>
          <a:solidFill>
            <a:schemeClr val="accent1"/>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Times New Roman" panose="02020603050405020304" pitchFamily="18" charset="0"/>
                <a:cs typeface="Times New Roman" panose="02020603050405020304" pitchFamily="18" charset="0"/>
              </a:rPr>
              <a:t>Task 1</a:t>
            </a:r>
          </a:p>
        </xdr:txBody>
      </xdr:sp>
      <xdr:sp macro="[0]!Task2_Selected" textlink="">
        <xdr:nvSpPr>
          <xdr:cNvPr id="25" name="Task2">
            <a:extLst>
              <a:ext uri="{FF2B5EF4-FFF2-40B4-BE49-F238E27FC236}">
                <a16:creationId xmlns:a16="http://schemas.microsoft.com/office/drawing/2014/main" id="{CEE6729C-2326-C6DC-D09A-EB1D7973822C}"/>
              </a:ext>
            </a:extLst>
          </xdr:cNvPr>
          <xdr:cNvSpPr/>
        </xdr:nvSpPr>
        <xdr:spPr>
          <a:xfrm>
            <a:off x="972762" y="4026566"/>
            <a:ext cx="684000" cy="288000"/>
          </a:xfrm>
          <a:prstGeom prst="roundRect">
            <a:avLst/>
          </a:prstGeom>
          <a:solidFill>
            <a:schemeClr val="bg1">
              <a:lumMod val="9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Times New Roman" panose="02020603050405020304" pitchFamily="18" charset="0"/>
                <a:cs typeface="Times New Roman" panose="02020603050405020304" pitchFamily="18" charset="0"/>
              </a:rPr>
              <a:t>Task 2</a:t>
            </a:r>
          </a:p>
        </xdr:txBody>
      </xdr:sp>
      <xdr:sp macro="[0]!Task3_Selected" textlink="">
        <xdr:nvSpPr>
          <xdr:cNvPr id="26" name="Task3">
            <a:extLst>
              <a:ext uri="{FF2B5EF4-FFF2-40B4-BE49-F238E27FC236}">
                <a16:creationId xmlns:a16="http://schemas.microsoft.com/office/drawing/2014/main" id="{ED5C83D2-273A-BBDA-6E26-27D2E9A8CEC8}"/>
              </a:ext>
            </a:extLst>
          </xdr:cNvPr>
          <xdr:cNvSpPr/>
        </xdr:nvSpPr>
        <xdr:spPr>
          <a:xfrm>
            <a:off x="1810779" y="4026566"/>
            <a:ext cx="684000" cy="288000"/>
          </a:xfrm>
          <a:prstGeom prst="roundRect">
            <a:avLst/>
          </a:prstGeom>
          <a:solidFill>
            <a:schemeClr val="bg1">
              <a:lumMod val="9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Times New Roman" panose="02020603050405020304" pitchFamily="18" charset="0"/>
                <a:cs typeface="Times New Roman" panose="02020603050405020304" pitchFamily="18" charset="0"/>
              </a:rPr>
              <a:t>Task 3</a:t>
            </a:r>
          </a:p>
        </xdr:txBody>
      </xdr:sp>
      <xdr:sp macro="[0]!Task4_Selected" textlink="">
        <xdr:nvSpPr>
          <xdr:cNvPr id="27" name="Task4">
            <a:extLst>
              <a:ext uri="{FF2B5EF4-FFF2-40B4-BE49-F238E27FC236}">
                <a16:creationId xmlns:a16="http://schemas.microsoft.com/office/drawing/2014/main" id="{83AE3FD0-40FF-5DB3-E619-8729C66743E4}"/>
              </a:ext>
            </a:extLst>
          </xdr:cNvPr>
          <xdr:cNvSpPr/>
        </xdr:nvSpPr>
        <xdr:spPr>
          <a:xfrm>
            <a:off x="2648796" y="4026566"/>
            <a:ext cx="684000" cy="288000"/>
          </a:xfrm>
          <a:prstGeom prst="roundRect">
            <a:avLst/>
          </a:prstGeom>
          <a:solidFill>
            <a:schemeClr val="bg1">
              <a:lumMod val="9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Times New Roman" panose="02020603050405020304" pitchFamily="18" charset="0"/>
                <a:cs typeface="Times New Roman" panose="02020603050405020304" pitchFamily="18" charset="0"/>
              </a:rPr>
              <a:t>Task 4</a:t>
            </a:r>
          </a:p>
        </xdr:txBody>
      </xdr:sp>
      <xdr:sp macro="[0]!Task5_Selected" textlink="">
        <xdr:nvSpPr>
          <xdr:cNvPr id="28" name="Task5">
            <a:extLst>
              <a:ext uri="{FF2B5EF4-FFF2-40B4-BE49-F238E27FC236}">
                <a16:creationId xmlns:a16="http://schemas.microsoft.com/office/drawing/2014/main" id="{108B01CF-E224-4482-AAE5-5D32AD69A810}"/>
              </a:ext>
            </a:extLst>
          </xdr:cNvPr>
          <xdr:cNvSpPr/>
        </xdr:nvSpPr>
        <xdr:spPr>
          <a:xfrm>
            <a:off x="3486812" y="4026566"/>
            <a:ext cx="684000" cy="288000"/>
          </a:xfrm>
          <a:prstGeom prst="roundRect">
            <a:avLst/>
          </a:prstGeom>
          <a:solidFill>
            <a:schemeClr val="bg1">
              <a:lumMod val="9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Times New Roman" panose="02020603050405020304" pitchFamily="18" charset="0"/>
                <a:cs typeface="Times New Roman" panose="02020603050405020304" pitchFamily="18" charset="0"/>
              </a:rPr>
              <a:t>Task 5</a:t>
            </a:r>
          </a:p>
        </xdr:txBody>
      </xdr:sp>
      <xdr:sp macro="" textlink="'Đề bài'!B11">
        <xdr:nvSpPr>
          <xdr:cNvPr id="30" name="P1_Task1">
            <a:extLst>
              <a:ext uri="{FF2B5EF4-FFF2-40B4-BE49-F238E27FC236}">
                <a16:creationId xmlns:a16="http://schemas.microsoft.com/office/drawing/2014/main" id="{8591DA49-8101-BC8F-F231-6B0F261676CD}"/>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11AD6CD-EC3D-47F5-BD0B-4219710F42BF}"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Cấu hình trang tính “Tháng 2” để in các ô A4:F16.</a:t>
            </a:fld>
            <a:endParaRPr lang="en-US" sz="1800" b="1">
              <a:solidFill>
                <a:schemeClr val="accent1"/>
              </a:solidFill>
              <a:latin typeface="Times New Roman" panose="02020603050405020304" pitchFamily="18" charset="0"/>
              <a:cs typeface="Times New Roman" panose="02020603050405020304" pitchFamily="18" charset="0"/>
            </a:endParaRPr>
          </a:p>
        </xdr:txBody>
      </xdr:sp>
      <xdr:sp macro="" textlink="'Đề bài'!B12">
        <xdr:nvSpPr>
          <xdr:cNvPr id="31" name="P1_Task2" hidden="1">
            <a:extLst>
              <a:ext uri="{FF2B5EF4-FFF2-40B4-BE49-F238E27FC236}">
                <a16:creationId xmlns:a16="http://schemas.microsoft.com/office/drawing/2014/main" id="{5E758477-F6E4-B507-0A5E-31802B42CFB1}"/>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CCDDDF0-9C93-4478-93D7-34C9C97F5ADD}"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Trên trang tính “Tháng 1”, lọc dữ liệu cho bảng để chỉ hiển thị những nội dung có "Chiết khấu" là "Yes"</a:t>
            </a:fld>
            <a:endParaRPr lang="vi-VN" sz="1800" b="0">
              <a:solidFill>
                <a:sysClr val="windowText" lastClr="000000"/>
              </a:solidFill>
              <a:latin typeface="Times New Roman" panose="02020603050405020304" pitchFamily="18" charset="0"/>
              <a:cs typeface="Times New Roman" panose="02020603050405020304" pitchFamily="18" charset="0"/>
            </a:endParaRPr>
          </a:p>
        </xdr:txBody>
      </xdr:sp>
      <xdr:sp macro="" textlink="'Đề bài'!B13">
        <xdr:nvSpPr>
          <xdr:cNvPr id="32" name="P1_Task3" hidden="1">
            <a:extLst>
              <a:ext uri="{FF2B5EF4-FFF2-40B4-BE49-F238E27FC236}">
                <a16:creationId xmlns:a16="http://schemas.microsoft.com/office/drawing/2014/main" id="{B8AD5587-3493-ED37-7D5B-89CC782D3D36}"/>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FD7FD18-6A77-4D5A-B3CB-05800E4BDB89}"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Trên trang tính “Tháng 2”, trong cột “Chiết khấu”, sử dùng hàm để hiển thị “YES” nếu “Số năm tham gia” lớn hơn 5. Ngược lại hiển thị “NO”.</a:t>
            </a:fld>
            <a:endParaRPr lang="vi-VN" sz="1800" b="0">
              <a:solidFill>
                <a:sysClr val="windowText" lastClr="000000"/>
              </a:solidFill>
              <a:latin typeface="Times New Roman" panose="02020603050405020304" pitchFamily="18" charset="0"/>
              <a:cs typeface="Times New Roman" panose="02020603050405020304" pitchFamily="18" charset="0"/>
            </a:endParaRPr>
          </a:p>
        </xdr:txBody>
      </xdr:sp>
      <xdr:sp macro="" textlink="'Đề bài'!B14">
        <xdr:nvSpPr>
          <xdr:cNvPr id="33" name="P1_Task4" hidden="1">
            <a:extLst>
              <a:ext uri="{FF2B5EF4-FFF2-40B4-BE49-F238E27FC236}">
                <a16:creationId xmlns:a16="http://schemas.microsoft.com/office/drawing/2014/main" id="{156D28F0-71D8-55F0-F230-B82FC20A09CA}"/>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6505E3C-A877-4BFD-A97F-6A335EBE8DB0}"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Trên trang tính “Tháng 2”, trong cột “Loại hợp đồng”, Sử dụng hàm để hiển thị hai ký tự đầu tiên của “Mã hợp đồng” trong cột B.</a:t>
            </a:fld>
            <a:endParaRPr lang="vi-VN" sz="1800" b="0">
              <a:solidFill>
                <a:sysClr val="windowText" lastClr="000000"/>
              </a:solidFill>
              <a:latin typeface="Times New Roman" panose="02020603050405020304" pitchFamily="18" charset="0"/>
              <a:cs typeface="Times New Roman" panose="02020603050405020304" pitchFamily="18" charset="0"/>
            </a:endParaRPr>
          </a:p>
        </xdr:txBody>
      </xdr:sp>
      <xdr:sp macro="" textlink="'Đề bài'!B15">
        <xdr:nvSpPr>
          <xdr:cNvPr id="34" name="P1_Task5" hidden="1">
            <a:extLst>
              <a:ext uri="{FF2B5EF4-FFF2-40B4-BE49-F238E27FC236}">
                <a16:creationId xmlns:a16="http://schemas.microsoft.com/office/drawing/2014/main" id="{A5413BFA-6290-51B8-4E23-C7FCDAF243E3}"/>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0BEE571-FC97-4E2E-BF3C-01BA012A3519}"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Trên trang tính “Tổng hợp 3 tháng”, thêm văn bản thay thế (Alt text) với nội dung “New Data” cho biểu đồ.</a:t>
            </a:fld>
            <a:endParaRPr lang="vi-VN" sz="1800" b="0">
              <a:solidFill>
                <a:sysClr val="windowText" lastClr="000000"/>
              </a:solidFill>
              <a:latin typeface="Times New Roman" panose="02020603050405020304" pitchFamily="18" charset="0"/>
              <a:cs typeface="Times New Roman" panose="02020603050405020304" pitchFamily="18" charset="0"/>
            </a:endParaRPr>
          </a:p>
        </xdr:txBody>
      </xdr:sp>
      <xdr:sp macro="" textlink="'Đề bài'!B16">
        <xdr:nvSpPr>
          <xdr:cNvPr id="35" name="P1_Task6" hidden="1">
            <a:extLst>
              <a:ext uri="{FF2B5EF4-FFF2-40B4-BE49-F238E27FC236}">
                <a16:creationId xmlns:a16="http://schemas.microsoft.com/office/drawing/2014/main" id="{0C19B80C-85D3-497A-3418-6C4AB23017F4}"/>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F918491-328B-4271-A09B-1800F162CCB1}"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 </a:t>
            </a:fld>
            <a:endParaRPr lang="vi-VN" sz="1600" b="0">
              <a:solidFill>
                <a:sysClr val="windowText" lastClr="000000"/>
              </a:solidFill>
              <a:latin typeface="Times New Roman" panose="02020603050405020304" pitchFamily="18" charset="0"/>
              <a:cs typeface="Times New Roman" panose="02020603050405020304" pitchFamily="18" charset="0"/>
            </a:endParaRPr>
          </a:p>
        </xdr:txBody>
      </xdr:sp>
      <xdr:cxnSp macro="">
        <xdr:nvCxnSpPr>
          <xdr:cNvPr id="5" name="Straight Connector 4">
            <a:extLst>
              <a:ext uri="{FF2B5EF4-FFF2-40B4-BE49-F238E27FC236}">
                <a16:creationId xmlns:a16="http://schemas.microsoft.com/office/drawing/2014/main" id="{2CA8D4AF-4219-6E6A-3C2E-3D8D94E05C74}"/>
              </a:ext>
            </a:extLst>
          </xdr:cNvPr>
          <xdr:cNvCxnSpPr/>
        </xdr:nvCxnSpPr>
        <xdr:spPr>
          <a:xfrm>
            <a:off x="4352925" y="4029075"/>
            <a:ext cx="0" cy="288000"/>
          </a:xfrm>
          <a:prstGeom prst="line">
            <a:avLst/>
          </a:prstGeom>
          <a:ln w="38100" cmpd="dbl">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17</xdr:row>
      <xdr:rowOff>0</xdr:rowOff>
    </xdr:from>
    <xdr:to>
      <xdr:col>29</xdr:col>
      <xdr:colOff>387825</xdr:colOff>
      <xdr:row>45</xdr:row>
      <xdr:rowOff>66000</xdr:rowOff>
    </xdr:to>
    <xdr:grpSp>
      <xdr:nvGrpSpPr>
        <xdr:cNvPr id="27" name="Group 26">
          <a:extLst>
            <a:ext uri="{FF2B5EF4-FFF2-40B4-BE49-F238E27FC236}">
              <a16:creationId xmlns:a16="http://schemas.microsoft.com/office/drawing/2014/main" id="{38EFC3B8-CF79-471C-B1FE-4D9BEBC145B8}"/>
            </a:ext>
          </a:extLst>
        </xdr:cNvPr>
        <xdr:cNvGrpSpPr/>
      </xdr:nvGrpSpPr>
      <xdr:grpSpPr>
        <a:xfrm>
          <a:off x="0" y="3533775"/>
          <a:ext cx="21600000" cy="5400000"/>
          <a:chOff x="0" y="3453765"/>
          <a:chExt cx="21600000" cy="5400000"/>
        </a:xfrm>
      </xdr:grpSpPr>
      <xdr:sp macro="" textlink="'Đề bài'!B10">
        <xdr:nvSpPr>
          <xdr:cNvPr id="28" name="Background">
            <a:extLst>
              <a:ext uri="{FF2B5EF4-FFF2-40B4-BE49-F238E27FC236}">
                <a16:creationId xmlns:a16="http://schemas.microsoft.com/office/drawing/2014/main" id="{1CB9ED96-64E9-6BA0-4B56-BFAF18644A7C}"/>
              </a:ext>
            </a:extLst>
          </xdr:cNvPr>
          <xdr:cNvSpPr/>
        </xdr:nvSpPr>
        <xdr:spPr>
          <a:xfrm>
            <a:off x="0" y="3453765"/>
            <a:ext cx="21600000" cy="54000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0" tIns="180000" rIns="36000" bIns="36000" rtlCol="0" anchor="t"/>
          <a:lstStyle/>
          <a:p>
            <a:pPr algn="l"/>
            <a:fld id="{F338756D-1763-447E-A917-06E34DE30660}" type="TxLink">
              <a:rPr lang="en-US" sz="1200" b="1" i="0" u="none" strike="noStrike" baseline="0">
                <a:solidFill>
                  <a:srgbClr val="000000"/>
                </a:solidFill>
                <a:latin typeface="Times New Roman" panose="02020603050405020304" pitchFamily="18" charset="0"/>
                <a:ea typeface="Calibri"/>
                <a:cs typeface="Times New Roman" panose="02020603050405020304" pitchFamily="18" charset="0"/>
              </a:rPr>
              <a:pPr algn="l"/>
              <a:t>Chủ đề: Bạn đang cập nhật dữ liệu gia hạn hợp đồng bảo hiểm xe ô tô cho tháng hiện tại</a:t>
            </a:fld>
            <a:endParaRPr lang="en-US" sz="1600" b="1">
              <a:solidFill>
                <a:sysClr val="windowText" lastClr="000000"/>
              </a:solidFill>
              <a:latin typeface="Times New Roman" panose="02020603050405020304" pitchFamily="18" charset="0"/>
              <a:cs typeface="Times New Roman" panose="02020603050405020304" pitchFamily="18" charset="0"/>
            </a:endParaRPr>
          </a:p>
        </xdr:txBody>
      </xdr:sp>
      <xdr:pic>
        <xdr:nvPicPr>
          <xdr:cNvPr id="29" name="Logo_IIG">
            <a:extLst>
              <a:ext uri="{FF2B5EF4-FFF2-40B4-BE49-F238E27FC236}">
                <a16:creationId xmlns:a16="http://schemas.microsoft.com/office/drawing/2014/main" id="{ABEB7737-128B-6D5A-D952-E51A48B87BD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537" t="12234" r="16045" b="22340"/>
          <a:stretch>
            <a:fillRect/>
          </a:stretch>
        </xdr:blipFill>
        <xdr:spPr>
          <a:xfrm>
            <a:off x="105572" y="3531805"/>
            <a:ext cx="526424" cy="359700"/>
          </a:xfrm>
          <a:prstGeom prst="rect">
            <a:avLst/>
          </a:prstGeom>
        </xdr:spPr>
      </xdr:pic>
      <xdr:sp macro="[0]!Test_End" textlink="">
        <xdr:nvSpPr>
          <xdr:cNvPr id="30" name="NopBai">
            <a:extLst>
              <a:ext uri="{FF2B5EF4-FFF2-40B4-BE49-F238E27FC236}">
                <a16:creationId xmlns:a16="http://schemas.microsoft.com/office/drawing/2014/main" id="{39414A15-2AC8-A5A5-E352-F5273B7F2064}"/>
              </a:ext>
            </a:extLst>
          </xdr:cNvPr>
          <xdr:cNvSpPr/>
        </xdr:nvSpPr>
        <xdr:spPr>
          <a:xfrm>
            <a:off x="5756978" y="4025510"/>
            <a:ext cx="1008000" cy="288000"/>
          </a:xfrm>
          <a:prstGeom prst="roundRect">
            <a:avLst/>
          </a:prstGeom>
          <a:solidFill>
            <a:srgbClr val="7030A0"/>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b="1">
                <a:latin typeface="Times New Roman" panose="02020603050405020304" pitchFamily="18" charset="0"/>
                <a:cs typeface="Times New Roman" panose="02020603050405020304" pitchFamily="18" charset="0"/>
              </a:rPr>
              <a:t>NỘP BÀI</a:t>
            </a:r>
          </a:p>
        </xdr:txBody>
      </xdr:sp>
      <xdr:sp macro="[0]!Project_Reset_Confirm" textlink="">
        <xdr:nvSpPr>
          <xdr:cNvPr id="31" name="Project_Reset">
            <a:extLst>
              <a:ext uri="{FF2B5EF4-FFF2-40B4-BE49-F238E27FC236}">
                <a16:creationId xmlns:a16="http://schemas.microsoft.com/office/drawing/2014/main" id="{29792A81-2980-DEFA-8CFB-D4CD3AABA805}"/>
              </a:ext>
            </a:extLst>
          </xdr:cNvPr>
          <xdr:cNvSpPr/>
        </xdr:nvSpPr>
        <xdr:spPr>
          <a:xfrm>
            <a:off x="4538617" y="4025510"/>
            <a:ext cx="1008000" cy="288000"/>
          </a:xfrm>
          <a:prstGeom prst="roundRect">
            <a:avLst/>
          </a:prstGeom>
          <a:solidFill>
            <a:schemeClr val="accent6"/>
          </a:solidFill>
          <a:ln>
            <a:solidFill>
              <a:schemeClr val="bg1">
                <a:lumMod val="6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b="1">
                <a:latin typeface="Times New Roman" panose="02020603050405020304" pitchFamily="18" charset="0"/>
                <a:cs typeface="Times New Roman" panose="02020603050405020304" pitchFamily="18" charset="0"/>
              </a:rPr>
              <a:t>LÀM LẠI</a:t>
            </a:r>
          </a:p>
        </xdr:txBody>
      </xdr:sp>
      <xdr:sp macro="[0]!Task1_Selected" textlink="">
        <xdr:nvSpPr>
          <xdr:cNvPr id="32" name="Task1">
            <a:extLst>
              <a:ext uri="{FF2B5EF4-FFF2-40B4-BE49-F238E27FC236}">
                <a16:creationId xmlns:a16="http://schemas.microsoft.com/office/drawing/2014/main" id="{9B8D26A7-1832-0110-3203-CFB90D266578}"/>
              </a:ext>
            </a:extLst>
          </xdr:cNvPr>
          <xdr:cNvSpPr/>
        </xdr:nvSpPr>
        <xdr:spPr>
          <a:xfrm>
            <a:off x="134745" y="4026566"/>
            <a:ext cx="684000" cy="288000"/>
          </a:xfrm>
          <a:prstGeom prst="roundRect">
            <a:avLst/>
          </a:prstGeom>
          <a:solidFill>
            <a:schemeClr val="accent1"/>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Times New Roman" panose="02020603050405020304" pitchFamily="18" charset="0"/>
                <a:cs typeface="Times New Roman" panose="02020603050405020304" pitchFamily="18" charset="0"/>
              </a:rPr>
              <a:t>Task 1</a:t>
            </a:r>
          </a:p>
        </xdr:txBody>
      </xdr:sp>
      <xdr:sp macro="[0]!Task2_Selected" textlink="">
        <xdr:nvSpPr>
          <xdr:cNvPr id="33" name="Task2">
            <a:extLst>
              <a:ext uri="{FF2B5EF4-FFF2-40B4-BE49-F238E27FC236}">
                <a16:creationId xmlns:a16="http://schemas.microsoft.com/office/drawing/2014/main" id="{66638DC7-F111-03C3-9AD7-EF6949FB34D1}"/>
              </a:ext>
            </a:extLst>
          </xdr:cNvPr>
          <xdr:cNvSpPr/>
        </xdr:nvSpPr>
        <xdr:spPr>
          <a:xfrm>
            <a:off x="972762" y="4026566"/>
            <a:ext cx="684000" cy="288000"/>
          </a:xfrm>
          <a:prstGeom prst="roundRect">
            <a:avLst/>
          </a:prstGeom>
          <a:solidFill>
            <a:schemeClr val="bg1">
              <a:lumMod val="9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Times New Roman" panose="02020603050405020304" pitchFamily="18" charset="0"/>
                <a:cs typeface="Times New Roman" panose="02020603050405020304" pitchFamily="18" charset="0"/>
              </a:rPr>
              <a:t>Task 2</a:t>
            </a:r>
          </a:p>
        </xdr:txBody>
      </xdr:sp>
      <xdr:sp macro="[0]!Task3_Selected" textlink="">
        <xdr:nvSpPr>
          <xdr:cNvPr id="34" name="Task3">
            <a:extLst>
              <a:ext uri="{FF2B5EF4-FFF2-40B4-BE49-F238E27FC236}">
                <a16:creationId xmlns:a16="http://schemas.microsoft.com/office/drawing/2014/main" id="{4873666C-BBFE-A8D1-680B-669E8F6D5FF4}"/>
              </a:ext>
            </a:extLst>
          </xdr:cNvPr>
          <xdr:cNvSpPr/>
        </xdr:nvSpPr>
        <xdr:spPr>
          <a:xfrm>
            <a:off x="1810779" y="4026566"/>
            <a:ext cx="684000" cy="288000"/>
          </a:xfrm>
          <a:prstGeom prst="roundRect">
            <a:avLst/>
          </a:prstGeom>
          <a:solidFill>
            <a:schemeClr val="bg1">
              <a:lumMod val="9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Times New Roman" panose="02020603050405020304" pitchFamily="18" charset="0"/>
                <a:cs typeface="Times New Roman" panose="02020603050405020304" pitchFamily="18" charset="0"/>
              </a:rPr>
              <a:t>Task 3</a:t>
            </a:r>
          </a:p>
        </xdr:txBody>
      </xdr:sp>
      <xdr:sp macro="[0]!Task4_Selected" textlink="">
        <xdr:nvSpPr>
          <xdr:cNvPr id="35" name="Task4">
            <a:extLst>
              <a:ext uri="{FF2B5EF4-FFF2-40B4-BE49-F238E27FC236}">
                <a16:creationId xmlns:a16="http://schemas.microsoft.com/office/drawing/2014/main" id="{841ED3B1-FA5F-0073-C413-B717558DF803}"/>
              </a:ext>
            </a:extLst>
          </xdr:cNvPr>
          <xdr:cNvSpPr/>
        </xdr:nvSpPr>
        <xdr:spPr>
          <a:xfrm>
            <a:off x="2648796" y="4026566"/>
            <a:ext cx="684000" cy="288000"/>
          </a:xfrm>
          <a:prstGeom prst="roundRect">
            <a:avLst/>
          </a:prstGeom>
          <a:solidFill>
            <a:schemeClr val="bg1">
              <a:lumMod val="9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Times New Roman" panose="02020603050405020304" pitchFamily="18" charset="0"/>
                <a:cs typeface="Times New Roman" panose="02020603050405020304" pitchFamily="18" charset="0"/>
              </a:rPr>
              <a:t>Task 4</a:t>
            </a:r>
          </a:p>
        </xdr:txBody>
      </xdr:sp>
      <xdr:sp macro="[0]!Task5_Selected" textlink="">
        <xdr:nvSpPr>
          <xdr:cNvPr id="36" name="Task5">
            <a:extLst>
              <a:ext uri="{FF2B5EF4-FFF2-40B4-BE49-F238E27FC236}">
                <a16:creationId xmlns:a16="http://schemas.microsoft.com/office/drawing/2014/main" id="{8CDB841B-CAA1-FAB9-CF8C-EA0943F99D5C}"/>
              </a:ext>
            </a:extLst>
          </xdr:cNvPr>
          <xdr:cNvSpPr/>
        </xdr:nvSpPr>
        <xdr:spPr>
          <a:xfrm>
            <a:off x="3486812" y="4026566"/>
            <a:ext cx="684000" cy="288000"/>
          </a:xfrm>
          <a:prstGeom prst="roundRect">
            <a:avLst/>
          </a:prstGeom>
          <a:solidFill>
            <a:schemeClr val="bg1">
              <a:lumMod val="9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Times New Roman" panose="02020603050405020304" pitchFamily="18" charset="0"/>
                <a:cs typeface="Times New Roman" panose="02020603050405020304" pitchFamily="18" charset="0"/>
              </a:rPr>
              <a:t>Task 5</a:t>
            </a:r>
          </a:p>
        </xdr:txBody>
      </xdr:sp>
      <xdr:sp macro="" textlink="'Đề bài'!B11">
        <xdr:nvSpPr>
          <xdr:cNvPr id="37" name="P1_Task1">
            <a:extLst>
              <a:ext uri="{FF2B5EF4-FFF2-40B4-BE49-F238E27FC236}">
                <a16:creationId xmlns:a16="http://schemas.microsoft.com/office/drawing/2014/main" id="{1EFDEBAC-DA71-365D-690C-88724CEDE3C5}"/>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11AD6CD-EC3D-47F5-BD0B-4219710F42BF}"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Cấu hình trang tính “Tháng 2” để in các ô A4:F16.</a:t>
            </a:fld>
            <a:endParaRPr lang="en-US" sz="1800" b="1">
              <a:solidFill>
                <a:schemeClr val="accent1"/>
              </a:solidFill>
              <a:latin typeface="Times New Roman" panose="02020603050405020304" pitchFamily="18" charset="0"/>
              <a:cs typeface="Times New Roman" panose="02020603050405020304" pitchFamily="18" charset="0"/>
            </a:endParaRPr>
          </a:p>
        </xdr:txBody>
      </xdr:sp>
      <xdr:sp macro="" textlink="'Đề bài'!B12">
        <xdr:nvSpPr>
          <xdr:cNvPr id="38" name="P1_Task2" hidden="1">
            <a:extLst>
              <a:ext uri="{FF2B5EF4-FFF2-40B4-BE49-F238E27FC236}">
                <a16:creationId xmlns:a16="http://schemas.microsoft.com/office/drawing/2014/main" id="{66DC08EE-FCA1-A502-18D7-210567D4F778}"/>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CCDDDF0-9C93-4478-93D7-34C9C97F5ADD}"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Trên trang tính “Tháng 1”, lọc dữ liệu cho bảng để chỉ hiển thị những nội dung có "Chiết khấu" là "Yes"</a:t>
            </a:fld>
            <a:endParaRPr lang="vi-VN" sz="1800" b="0">
              <a:solidFill>
                <a:sysClr val="windowText" lastClr="000000"/>
              </a:solidFill>
              <a:latin typeface="Times New Roman" panose="02020603050405020304" pitchFamily="18" charset="0"/>
              <a:cs typeface="Times New Roman" panose="02020603050405020304" pitchFamily="18" charset="0"/>
            </a:endParaRPr>
          </a:p>
        </xdr:txBody>
      </xdr:sp>
      <xdr:sp macro="" textlink="'Đề bài'!B13">
        <xdr:nvSpPr>
          <xdr:cNvPr id="39" name="P1_Task3" hidden="1">
            <a:extLst>
              <a:ext uri="{FF2B5EF4-FFF2-40B4-BE49-F238E27FC236}">
                <a16:creationId xmlns:a16="http://schemas.microsoft.com/office/drawing/2014/main" id="{DF346911-4058-6ABA-3F9C-D6A2CBE91DAB}"/>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FD7FD18-6A77-4D5A-B3CB-05800E4BDB89}"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Trên trang tính “Tháng 2”, trong cột “Chiết khấu”, sử dùng hàm để hiển thị “YES” nếu “Số năm tham gia” lớn hơn 5. Ngược lại hiển thị “NO”.</a:t>
            </a:fld>
            <a:endParaRPr lang="vi-VN" sz="1800" b="0">
              <a:solidFill>
                <a:sysClr val="windowText" lastClr="000000"/>
              </a:solidFill>
              <a:latin typeface="Times New Roman" panose="02020603050405020304" pitchFamily="18" charset="0"/>
              <a:cs typeface="Times New Roman" panose="02020603050405020304" pitchFamily="18" charset="0"/>
            </a:endParaRPr>
          </a:p>
        </xdr:txBody>
      </xdr:sp>
      <xdr:sp macro="" textlink="'Đề bài'!B14">
        <xdr:nvSpPr>
          <xdr:cNvPr id="40" name="P1_Task4" hidden="1">
            <a:extLst>
              <a:ext uri="{FF2B5EF4-FFF2-40B4-BE49-F238E27FC236}">
                <a16:creationId xmlns:a16="http://schemas.microsoft.com/office/drawing/2014/main" id="{93CC7185-6C2C-12D6-F199-98D6285F1B1F}"/>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6505E3C-A877-4BFD-A97F-6A335EBE8DB0}"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Trên trang tính “Tháng 2”, trong cột “Loại hợp đồng”, Sử dụng hàm để hiển thị hai ký tự đầu tiên của “Mã hợp đồng” trong cột B.</a:t>
            </a:fld>
            <a:endParaRPr lang="vi-VN" sz="1800" b="0">
              <a:solidFill>
                <a:sysClr val="windowText" lastClr="000000"/>
              </a:solidFill>
              <a:latin typeface="Times New Roman" panose="02020603050405020304" pitchFamily="18" charset="0"/>
              <a:cs typeface="Times New Roman" panose="02020603050405020304" pitchFamily="18" charset="0"/>
            </a:endParaRPr>
          </a:p>
        </xdr:txBody>
      </xdr:sp>
      <xdr:sp macro="" textlink="'Đề bài'!B15">
        <xdr:nvSpPr>
          <xdr:cNvPr id="41" name="P1_Task5" hidden="1">
            <a:extLst>
              <a:ext uri="{FF2B5EF4-FFF2-40B4-BE49-F238E27FC236}">
                <a16:creationId xmlns:a16="http://schemas.microsoft.com/office/drawing/2014/main" id="{0F29D24C-BEE3-206C-0761-4465491769A9}"/>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0BEE571-FC97-4E2E-BF3C-01BA012A3519}"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Trên trang tính “Tổng hợp 3 tháng”, thêm văn bản thay thế (Alt text) với nội dung “New Data” cho biểu đồ.</a:t>
            </a:fld>
            <a:endParaRPr lang="vi-VN" sz="1800" b="0">
              <a:solidFill>
                <a:sysClr val="windowText" lastClr="000000"/>
              </a:solidFill>
              <a:latin typeface="Times New Roman" panose="02020603050405020304" pitchFamily="18" charset="0"/>
              <a:cs typeface="Times New Roman" panose="02020603050405020304" pitchFamily="18" charset="0"/>
            </a:endParaRPr>
          </a:p>
        </xdr:txBody>
      </xdr:sp>
      <xdr:sp macro="" textlink="'Đề bài'!B16">
        <xdr:nvSpPr>
          <xdr:cNvPr id="42" name="P1_Task6" hidden="1">
            <a:extLst>
              <a:ext uri="{FF2B5EF4-FFF2-40B4-BE49-F238E27FC236}">
                <a16:creationId xmlns:a16="http://schemas.microsoft.com/office/drawing/2014/main" id="{2E9C9856-A1B7-C519-F546-BFB630655703}"/>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F918491-328B-4271-A09B-1800F162CCB1}"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 </a:t>
            </a:fld>
            <a:endParaRPr lang="vi-VN" sz="1600" b="0">
              <a:solidFill>
                <a:sysClr val="windowText" lastClr="000000"/>
              </a:solidFill>
              <a:latin typeface="Times New Roman" panose="02020603050405020304" pitchFamily="18" charset="0"/>
              <a:cs typeface="Times New Roman" panose="02020603050405020304" pitchFamily="18" charset="0"/>
            </a:endParaRPr>
          </a:p>
        </xdr:txBody>
      </xdr:sp>
      <xdr:cxnSp macro="">
        <xdr:nvCxnSpPr>
          <xdr:cNvPr id="43" name="Straight Connector 42">
            <a:extLst>
              <a:ext uri="{FF2B5EF4-FFF2-40B4-BE49-F238E27FC236}">
                <a16:creationId xmlns:a16="http://schemas.microsoft.com/office/drawing/2014/main" id="{6450B475-F2A9-C7D0-6969-C01ED14A5E16}"/>
              </a:ext>
            </a:extLst>
          </xdr:cNvPr>
          <xdr:cNvCxnSpPr/>
        </xdr:nvCxnSpPr>
        <xdr:spPr>
          <a:xfrm>
            <a:off x="4352925" y="4029075"/>
            <a:ext cx="0" cy="288000"/>
          </a:xfrm>
          <a:prstGeom prst="line">
            <a:avLst/>
          </a:prstGeom>
          <a:ln w="38100" cmpd="dbl">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17</xdr:row>
      <xdr:rowOff>0</xdr:rowOff>
    </xdr:from>
    <xdr:to>
      <xdr:col>29</xdr:col>
      <xdr:colOff>387825</xdr:colOff>
      <xdr:row>45</xdr:row>
      <xdr:rowOff>66000</xdr:rowOff>
    </xdr:to>
    <xdr:grpSp>
      <xdr:nvGrpSpPr>
        <xdr:cNvPr id="27" name="Group 26">
          <a:extLst>
            <a:ext uri="{FF2B5EF4-FFF2-40B4-BE49-F238E27FC236}">
              <a16:creationId xmlns:a16="http://schemas.microsoft.com/office/drawing/2014/main" id="{04EBD47B-1D8E-4A8D-A62E-145DB47E6231}"/>
            </a:ext>
          </a:extLst>
        </xdr:cNvPr>
        <xdr:cNvGrpSpPr/>
      </xdr:nvGrpSpPr>
      <xdr:grpSpPr>
        <a:xfrm>
          <a:off x="0" y="3533775"/>
          <a:ext cx="21600000" cy="5400000"/>
          <a:chOff x="0" y="3453765"/>
          <a:chExt cx="21600000" cy="5400000"/>
        </a:xfrm>
      </xdr:grpSpPr>
      <xdr:sp macro="" textlink="'Đề bài'!B10">
        <xdr:nvSpPr>
          <xdr:cNvPr id="28" name="Background">
            <a:extLst>
              <a:ext uri="{FF2B5EF4-FFF2-40B4-BE49-F238E27FC236}">
                <a16:creationId xmlns:a16="http://schemas.microsoft.com/office/drawing/2014/main" id="{E67A73A7-8A1D-69DB-322B-F056594C5618}"/>
              </a:ext>
            </a:extLst>
          </xdr:cNvPr>
          <xdr:cNvSpPr/>
        </xdr:nvSpPr>
        <xdr:spPr>
          <a:xfrm>
            <a:off x="0" y="3453765"/>
            <a:ext cx="21600000" cy="54000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0" tIns="180000" rIns="36000" bIns="36000" rtlCol="0" anchor="t"/>
          <a:lstStyle/>
          <a:p>
            <a:pPr algn="l"/>
            <a:fld id="{F338756D-1763-447E-A917-06E34DE30660}" type="TxLink">
              <a:rPr lang="en-US" sz="1200" b="1" i="0" u="none" strike="noStrike" baseline="0">
                <a:solidFill>
                  <a:srgbClr val="000000"/>
                </a:solidFill>
                <a:latin typeface="Times New Roman" panose="02020603050405020304" pitchFamily="18" charset="0"/>
                <a:ea typeface="Calibri"/>
                <a:cs typeface="Times New Roman" panose="02020603050405020304" pitchFamily="18" charset="0"/>
              </a:rPr>
              <a:pPr algn="l"/>
              <a:t>Chủ đề: Bạn đang cập nhật dữ liệu gia hạn hợp đồng bảo hiểm xe ô tô cho tháng hiện tại</a:t>
            </a:fld>
            <a:endParaRPr lang="en-US" sz="1600" b="1">
              <a:solidFill>
                <a:sysClr val="windowText" lastClr="000000"/>
              </a:solidFill>
              <a:latin typeface="Times New Roman" panose="02020603050405020304" pitchFamily="18" charset="0"/>
              <a:cs typeface="Times New Roman" panose="02020603050405020304" pitchFamily="18" charset="0"/>
            </a:endParaRPr>
          </a:p>
        </xdr:txBody>
      </xdr:sp>
      <xdr:pic>
        <xdr:nvPicPr>
          <xdr:cNvPr id="29" name="Logo_IIG">
            <a:extLst>
              <a:ext uri="{FF2B5EF4-FFF2-40B4-BE49-F238E27FC236}">
                <a16:creationId xmlns:a16="http://schemas.microsoft.com/office/drawing/2014/main" id="{93EDB9B5-4133-AF9A-F878-4F74B01D843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537" t="12234" r="16045" b="22340"/>
          <a:stretch>
            <a:fillRect/>
          </a:stretch>
        </xdr:blipFill>
        <xdr:spPr>
          <a:xfrm>
            <a:off x="105572" y="3531805"/>
            <a:ext cx="526424" cy="359700"/>
          </a:xfrm>
          <a:prstGeom prst="rect">
            <a:avLst/>
          </a:prstGeom>
        </xdr:spPr>
      </xdr:pic>
      <xdr:sp macro="[0]!Test_End" textlink="">
        <xdr:nvSpPr>
          <xdr:cNvPr id="30" name="NopBai">
            <a:extLst>
              <a:ext uri="{FF2B5EF4-FFF2-40B4-BE49-F238E27FC236}">
                <a16:creationId xmlns:a16="http://schemas.microsoft.com/office/drawing/2014/main" id="{F7C8E710-1E8C-9975-9B6F-A567A02B5D44}"/>
              </a:ext>
            </a:extLst>
          </xdr:cNvPr>
          <xdr:cNvSpPr/>
        </xdr:nvSpPr>
        <xdr:spPr>
          <a:xfrm>
            <a:off x="5756978" y="4025510"/>
            <a:ext cx="1008000" cy="288000"/>
          </a:xfrm>
          <a:prstGeom prst="roundRect">
            <a:avLst/>
          </a:prstGeom>
          <a:solidFill>
            <a:srgbClr val="7030A0"/>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b="1">
                <a:latin typeface="Times New Roman" panose="02020603050405020304" pitchFamily="18" charset="0"/>
                <a:cs typeface="Times New Roman" panose="02020603050405020304" pitchFamily="18" charset="0"/>
              </a:rPr>
              <a:t>NỘP BÀI</a:t>
            </a:r>
          </a:p>
        </xdr:txBody>
      </xdr:sp>
      <xdr:sp macro="[0]!Project_Reset_Confirm" textlink="">
        <xdr:nvSpPr>
          <xdr:cNvPr id="31" name="Project_Reset">
            <a:extLst>
              <a:ext uri="{FF2B5EF4-FFF2-40B4-BE49-F238E27FC236}">
                <a16:creationId xmlns:a16="http://schemas.microsoft.com/office/drawing/2014/main" id="{28E7D86B-33F8-72EC-DA50-8529BCEEB51F}"/>
              </a:ext>
            </a:extLst>
          </xdr:cNvPr>
          <xdr:cNvSpPr/>
        </xdr:nvSpPr>
        <xdr:spPr>
          <a:xfrm>
            <a:off x="4538617" y="4025510"/>
            <a:ext cx="1008000" cy="288000"/>
          </a:xfrm>
          <a:prstGeom prst="roundRect">
            <a:avLst/>
          </a:prstGeom>
          <a:solidFill>
            <a:schemeClr val="accent6"/>
          </a:solidFill>
          <a:ln>
            <a:solidFill>
              <a:schemeClr val="bg1">
                <a:lumMod val="6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b="1">
                <a:latin typeface="Times New Roman" panose="02020603050405020304" pitchFamily="18" charset="0"/>
                <a:cs typeface="Times New Roman" panose="02020603050405020304" pitchFamily="18" charset="0"/>
              </a:rPr>
              <a:t>LÀM LẠI</a:t>
            </a:r>
          </a:p>
        </xdr:txBody>
      </xdr:sp>
      <xdr:sp macro="[0]!Task1_Selected" textlink="">
        <xdr:nvSpPr>
          <xdr:cNvPr id="32" name="Task1">
            <a:extLst>
              <a:ext uri="{FF2B5EF4-FFF2-40B4-BE49-F238E27FC236}">
                <a16:creationId xmlns:a16="http://schemas.microsoft.com/office/drawing/2014/main" id="{2BC551E9-CD94-825B-0EFF-2D02F12BBEAA}"/>
              </a:ext>
            </a:extLst>
          </xdr:cNvPr>
          <xdr:cNvSpPr/>
        </xdr:nvSpPr>
        <xdr:spPr>
          <a:xfrm>
            <a:off x="134745" y="4026566"/>
            <a:ext cx="684000" cy="288000"/>
          </a:xfrm>
          <a:prstGeom prst="roundRect">
            <a:avLst/>
          </a:prstGeom>
          <a:solidFill>
            <a:schemeClr val="accent1"/>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Times New Roman" panose="02020603050405020304" pitchFamily="18" charset="0"/>
                <a:cs typeface="Times New Roman" panose="02020603050405020304" pitchFamily="18" charset="0"/>
              </a:rPr>
              <a:t>Task 1</a:t>
            </a:r>
          </a:p>
        </xdr:txBody>
      </xdr:sp>
      <xdr:sp macro="[0]!Task2_Selected" textlink="">
        <xdr:nvSpPr>
          <xdr:cNvPr id="33" name="Task2">
            <a:extLst>
              <a:ext uri="{FF2B5EF4-FFF2-40B4-BE49-F238E27FC236}">
                <a16:creationId xmlns:a16="http://schemas.microsoft.com/office/drawing/2014/main" id="{24D4C4F8-B66D-E5A9-30EE-FA9C5D0E3861}"/>
              </a:ext>
            </a:extLst>
          </xdr:cNvPr>
          <xdr:cNvSpPr/>
        </xdr:nvSpPr>
        <xdr:spPr>
          <a:xfrm>
            <a:off x="972762" y="4026566"/>
            <a:ext cx="684000" cy="288000"/>
          </a:xfrm>
          <a:prstGeom prst="roundRect">
            <a:avLst/>
          </a:prstGeom>
          <a:solidFill>
            <a:schemeClr val="bg1">
              <a:lumMod val="9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Times New Roman" panose="02020603050405020304" pitchFamily="18" charset="0"/>
                <a:cs typeface="Times New Roman" panose="02020603050405020304" pitchFamily="18" charset="0"/>
              </a:rPr>
              <a:t>Task 2</a:t>
            </a:r>
          </a:p>
        </xdr:txBody>
      </xdr:sp>
      <xdr:sp macro="[0]!Task3_Selected" textlink="">
        <xdr:nvSpPr>
          <xdr:cNvPr id="34" name="Task3">
            <a:extLst>
              <a:ext uri="{FF2B5EF4-FFF2-40B4-BE49-F238E27FC236}">
                <a16:creationId xmlns:a16="http://schemas.microsoft.com/office/drawing/2014/main" id="{1BC55E33-7085-8C8B-8814-0E26A492D697}"/>
              </a:ext>
            </a:extLst>
          </xdr:cNvPr>
          <xdr:cNvSpPr/>
        </xdr:nvSpPr>
        <xdr:spPr>
          <a:xfrm>
            <a:off x="1810779" y="4026566"/>
            <a:ext cx="684000" cy="288000"/>
          </a:xfrm>
          <a:prstGeom prst="roundRect">
            <a:avLst/>
          </a:prstGeom>
          <a:solidFill>
            <a:schemeClr val="bg1">
              <a:lumMod val="9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Times New Roman" panose="02020603050405020304" pitchFamily="18" charset="0"/>
                <a:cs typeface="Times New Roman" panose="02020603050405020304" pitchFamily="18" charset="0"/>
              </a:rPr>
              <a:t>Task 3</a:t>
            </a:r>
          </a:p>
        </xdr:txBody>
      </xdr:sp>
      <xdr:sp macro="[0]!Task4_Selected" textlink="">
        <xdr:nvSpPr>
          <xdr:cNvPr id="35" name="Task4">
            <a:extLst>
              <a:ext uri="{FF2B5EF4-FFF2-40B4-BE49-F238E27FC236}">
                <a16:creationId xmlns:a16="http://schemas.microsoft.com/office/drawing/2014/main" id="{85C0A84E-5FE2-3BC5-D04D-FAE4BAC78EE2}"/>
              </a:ext>
            </a:extLst>
          </xdr:cNvPr>
          <xdr:cNvSpPr/>
        </xdr:nvSpPr>
        <xdr:spPr>
          <a:xfrm>
            <a:off x="2648796" y="4026566"/>
            <a:ext cx="684000" cy="288000"/>
          </a:xfrm>
          <a:prstGeom prst="roundRect">
            <a:avLst/>
          </a:prstGeom>
          <a:solidFill>
            <a:schemeClr val="bg1">
              <a:lumMod val="9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Times New Roman" panose="02020603050405020304" pitchFamily="18" charset="0"/>
                <a:cs typeface="Times New Roman" panose="02020603050405020304" pitchFamily="18" charset="0"/>
              </a:rPr>
              <a:t>Task 4</a:t>
            </a:r>
          </a:p>
        </xdr:txBody>
      </xdr:sp>
      <xdr:sp macro="[0]!Task5_Selected" textlink="">
        <xdr:nvSpPr>
          <xdr:cNvPr id="36" name="Task5">
            <a:extLst>
              <a:ext uri="{FF2B5EF4-FFF2-40B4-BE49-F238E27FC236}">
                <a16:creationId xmlns:a16="http://schemas.microsoft.com/office/drawing/2014/main" id="{CFAB07E5-C024-5015-6A81-27E7C54544B7}"/>
              </a:ext>
            </a:extLst>
          </xdr:cNvPr>
          <xdr:cNvSpPr/>
        </xdr:nvSpPr>
        <xdr:spPr>
          <a:xfrm>
            <a:off x="3486812" y="4026566"/>
            <a:ext cx="684000" cy="288000"/>
          </a:xfrm>
          <a:prstGeom prst="roundRect">
            <a:avLst/>
          </a:prstGeom>
          <a:solidFill>
            <a:schemeClr val="bg1">
              <a:lumMod val="9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Times New Roman" panose="02020603050405020304" pitchFamily="18" charset="0"/>
                <a:cs typeface="Times New Roman" panose="02020603050405020304" pitchFamily="18" charset="0"/>
              </a:rPr>
              <a:t>Task 5</a:t>
            </a:r>
          </a:p>
        </xdr:txBody>
      </xdr:sp>
      <xdr:sp macro="" textlink="'Đề bài'!B11">
        <xdr:nvSpPr>
          <xdr:cNvPr id="37" name="P1_Task1">
            <a:extLst>
              <a:ext uri="{FF2B5EF4-FFF2-40B4-BE49-F238E27FC236}">
                <a16:creationId xmlns:a16="http://schemas.microsoft.com/office/drawing/2014/main" id="{1FFC4C29-66E7-D08A-A196-EA1AC7D78797}"/>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11AD6CD-EC3D-47F5-BD0B-4219710F42BF}"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Cấu hình trang tính “Tháng 2” để in các ô A4:F16.</a:t>
            </a:fld>
            <a:endParaRPr lang="en-US" sz="1800" b="1">
              <a:solidFill>
                <a:schemeClr val="accent1"/>
              </a:solidFill>
              <a:latin typeface="Times New Roman" panose="02020603050405020304" pitchFamily="18" charset="0"/>
              <a:cs typeface="Times New Roman" panose="02020603050405020304" pitchFamily="18" charset="0"/>
            </a:endParaRPr>
          </a:p>
        </xdr:txBody>
      </xdr:sp>
      <xdr:sp macro="" textlink="'Đề bài'!B12">
        <xdr:nvSpPr>
          <xdr:cNvPr id="38" name="P1_Task2" hidden="1">
            <a:extLst>
              <a:ext uri="{FF2B5EF4-FFF2-40B4-BE49-F238E27FC236}">
                <a16:creationId xmlns:a16="http://schemas.microsoft.com/office/drawing/2014/main" id="{5537D040-D04C-8EB2-BD89-3D95247511CF}"/>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CCDDDF0-9C93-4478-93D7-34C9C97F5ADD}"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Trên trang tính “Tháng 1”, lọc dữ liệu cho bảng để chỉ hiển thị những nội dung có "Chiết khấu" là "Yes"</a:t>
            </a:fld>
            <a:endParaRPr lang="vi-VN" sz="1800" b="0">
              <a:solidFill>
                <a:sysClr val="windowText" lastClr="000000"/>
              </a:solidFill>
              <a:latin typeface="Times New Roman" panose="02020603050405020304" pitchFamily="18" charset="0"/>
              <a:cs typeface="Times New Roman" panose="02020603050405020304" pitchFamily="18" charset="0"/>
            </a:endParaRPr>
          </a:p>
        </xdr:txBody>
      </xdr:sp>
      <xdr:sp macro="" textlink="'Đề bài'!B13">
        <xdr:nvSpPr>
          <xdr:cNvPr id="39" name="P1_Task3" hidden="1">
            <a:extLst>
              <a:ext uri="{FF2B5EF4-FFF2-40B4-BE49-F238E27FC236}">
                <a16:creationId xmlns:a16="http://schemas.microsoft.com/office/drawing/2014/main" id="{6B16E727-D716-C172-F11F-7099BF639245}"/>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FD7FD18-6A77-4D5A-B3CB-05800E4BDB89}"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Trên trang tính “Tháng 2”, trong cột “Chiết khấu”, sử dùng hàm để hiển thị “YES” nếu “Số năm tham gia” lớn hơn 5. Ngược lại hiển thị “NO”.</a:t>
            </a:fld>
            <a:endParaRPr lang="vi-VN" sz="1800" b="0">
              <a:solidFill>
                <a:sysClr val="windowText" lastClr="000000"/>
              </a:solidFill>
              <a:latin typeface="Times New Roman" panose="02020603050405020304" pitchFamily="18" charset="0"/>
              <a:cs typeface="Times New Roman" panose="02020603050405020304" pitchFamily="18" charset="0"/>
            </a:endParaRPr>
          </a:p>
        </xdr:txBody>
      </xdr:sp>
      <xdr:sp macro="" textlink="'Đề bài'!B14">
        <xdr:nvSpPr>
          <xdr:cNvPr id="40" name="P1_Task4" hidden="1">
            <a:extLst>
              <a:ext uri="{FF2B5EF4-FFF2-40B4-BE49-F238E27FC236}">
                <a16:creationId xmlns:a16="http://schemas.microsoft.com/office/drawing/2014/main" id="{C1C32214-CDD5-C1AF-6A6F-5C3B032F8F50}"/>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6505E3C-A877-4BFD-A97F-6A335EBE8DB0}"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Trên trang tính “Tháng 2”, trong cột “Loại hợp đồng”, Sử dụng hàm để hiển thị hai ký tự đầu tiên của “Mã hợp đồng” trong cột B.</a:t>
            </a:fld>
            <a:endParaRPr lang="vi-VN" sz="1800" b="0">
              <a:solidFill>
                <a:sysClr val="windowText" lastClr="000000"/>
              </a:solidFill>
              <a:latin typeface="Times New Roman" panose="02020603050405020304" pitchFamily="18" charset="0"/>
              <a:cs typeface="Times New Roman" panose="02020603050405020304" pitchFamily="18" charset="0"/>
            </a:endParaRPr>
          </a:p>
        </xdr:txBody>
      </xdr:sp>
      <xdr:sp macro="" textlink="'Đề bài'!B15">
        <xdr:nvSpPr>
          <xdr:cNvPr id="41" name="P1_Task5" hidden="1">
            <a:extLst>
              <a:ext uri="{FF2B5EF4-FFF2-40B4-BE49-F238E27FC236}">
                <a16:creationId xmlns:a16="http://schemas.microsoft.com/office/drawing/2014/main" id="{6CA60C8A-4E9E-9F68-8B8D-17D2D1B7E500}"/>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0BEE571-FC97-4E2E-BF3C-01BA012A3519}"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Trên trang tính “Tổng hợp 3 tháng”, thêm văn bản thay thế (Alt text) với nội dung “New Data” cho biểu đồ.</a:t>
            </a:fld>
            <a:endParaRPr lang="vi-VN" sz="1800" b="0">
              <a:solidFill>
                <a:sysClr val="windowText" lastClr="000000"/>
              </a:solidFill>
              <a:latin typeface="Times New Roman" panose="02020603050405020304" pitchFamily="18" charset="0"/>
              <a:cs typeface="Times New Roman" panose="02020603050405020304" pitchFamily="18" charset="0"/>
            </a:endParaRPr>
          </a:p>
        </xdr:txBody>
      </xdr:sp>
      <xdr:sp macro="" textlink="'Đề bài'!B16">
        <xdr:nvSpPr>
          <xdr:cNvPr id="42" name="P1_Task6" hidden="1">
            <a:extLst>
              <a:ext uri="{FF2B5EF4-FFF2-40B4-BE49-F238E27FC236}">
                <a16:creationId xmlns:a16="http://schemas.microsoft.com/office/drawing/2014/main" id="{11816D9C-E45C-B7E0-C2AA-4D05F02FD856}"/>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F918491-328B-4271-A09B-1800F162CCB1}"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 </a:t>
            </a:fld>
            <a:endParaRPr lang="vi-VN" sz="1600" b="0">
              <a:solidFill>
                <a:sysClr val="windowText" lastClr="000000"/>
              </a:solidFill>
              <a:latin typeface="Times New Roman" panose="02020603050405020304" pitchFamily="18" charset="0"/>
              <a:cs typeface="Times New Roman" panose="02020603050405020304" pitchFamily="18" charset="0"/>
            </a:endParaRPr>
          </a:p>
        </xdr:txBody>
      </xdr:sp>
      <xdr:cxnSp macro="">
        <xdr:nvCxnSpPr>
          <xdr:cNvPr id="43" name="Straight Connector 42">
            <a:extLst>
              <a:ext uri="{FF2B5EF4-FFF2-40B4-BE49-F238E27FC236}">
                <a16:creationId xmlns:a16="http://schemas.microsoft.com/office/drawing/2014/main" id="{FCA9611A-CC37-E499-9569-8C875F94FEFC}"/>
              </a:ext>
            </a:extLst>
          </xdr:cNvPr>
          <xdr:cNvCxnSpPr/>
        </xdr:nvCxnSpPr>
        <xdr:spPr>
          <a:xfrm>
            <a:off x="4352925" y="4029075"/>
            <a:ext cx="0" cy="288000"/>
          </a:xfrm>
          <a:prstGeom prst="line">
            <a:avLst/>
          </a:prstGeom>
          <a:ln w="38100" cmpd="dbl">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17</xdr:row>
      <xdr:rowOff>0</xdr:rowOff>
    </xdr:from>
    <xdr:to>
      <xdr:col>34</xdr:col>
      <xdr:colOff>330675</xdr:colOff>
      <xdr:row>45</xdr:row>
      <xdr:rowOff>66000</xdr:rowOff>
    </xdr:to>
    <xdr:grpSp>
      <xdr:nvGrpSpPr>
        <xdr:cNvPr id="2" name="Group 1">
          <a:extLst>
            <a:ext uri="{FF2B5EF4-FFF2-40B4-BE49-F238E27FC236}">
              <a16:creationId xmlns:a16="http://schemas.microsoft.com/office/drawing/2014/main" id="{E8AF1A3A-0506-4B69-A599-767E64B30015}"/>
            </a:ext>
          </a:extLst>
        </xdr:cNvPr>
        <xdr:cNvGrpSpPr/>
      </xdr:nvGrpSpPr>
      <xdr:grpSpPr>
        <a:xfrm>
          <a:off x="0" y="3457575"/>
          <a:ext cx="22704900" cy="5400000"/>
          <a:chOff x="0" y="3453765"/>
          <a:chExt cx="21600000" cy="5400000"/>
        </a:xfrm>
      </xdr:grpSpPr>
      <xdr:sp macro="" textlink="'Đề bài'!B10">
        <xdr:nvSpPr>
          <xdr:cNvPr id="3" name="Background">
            <a:extLst>
              <a:ext uri="{FF2B5EF4-FFF2-40B4-BE49-F238E27FC236}">
                <a16:creationId xmlns:a16="http://schemas.microsoft.com/office/drawing/2014/main" id="{6A3ABE90-B71D-8619-89AE-DAAE7259C49A}"/>
              </a:ext>
            </a:extLst>
          </xdr:cNvPr>
          <xdr:cNvSpPr/>
        </xdr:nvSpPr>
        <xdr:spPr>
          <a:xfrm>
            <a:off x="0" y="3453765"/>
            <a:ext cx="21600000" cy="54000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0" tIns="180000" rIns="36000" bIns="36000" rtlCol="0" anchor="t"/>
          <a:lstStyle/>
          <a:p>
            <a:pPr algn="l"/>
            <a:fld id="{F338756D-1763-447E-A917-06E34DE30660}" type="TxLink">
              <a:rPr lang="en-US" sz="1200" b="1" i="0" u="none" strike="noStrike" baseline="0">
                <a:solidFill>
                  <a:srgbClr val="000000"/>
                </a:solidFill>
                <a:latin typeface="Times New Roman" panose="02020603050405020304" pitchFamily="18" charset="0"/>
                <a:ea typeface="Calibri"/>
                <a:cs typeface="Times New Roman" panose="02020603050405020304" pitchFamily="18" charset="0"/>
              </a:rPr>
              <a:pPr algn="l"/>
              <a:t>Chủ đề: Bạn đang cập nhật dữ liệu gia hạn hợp đồng bảo hiểm xe ô tô cho tháng hiện tại</a:t>
            </a:fld>
            <a:endParaRPr lang="en-US" sz="1600" b="1">
              <a:solidFill>
                <a:sysClr val="windowText" lastClr="000000"/>
              </a:solidFill>
              <a:latin typeface="Times New Roman" panose="02020603050405020304" pitchFamily="18" charset="0"/>
              <a:cs typeface="Times New Roman" panose="02020603050405020304" pitchFamily="18" charset="0"/>
            </a:endParaRPr>
          </a:p>
        </xdr:txBody>
      </xdr:sp>
      <xdr:pic>
        <xdr:nvPicPr>
          <xdr:cNvPr id="4" name="Logo_IIG">
            <a:extLst>
              <a:ext uri="{FF2B5EF4-FFF2-40B4-BE49-F238E27FC236}">
                <a16:creationId xmlns:a16="http://schemas.microsoft.com/office/drawing/2014/main" id="{D03E3A71-4AA1-5DDC-31DD-4B0E36C5040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537" t="12234" r="16045" b="22340"/>
          <a:stretch>
            <a:fillRect/>
          </a:stretch>
        </xdr:blipFill>
        <xdr:spPr>
          <a:xfrm>
            <a:off x="105572" y="3531805"/>
            <a:ext cx="526424" cy="359700"/>
          </a:xfrm>
          <a:prstGeom prst="rect">
            <a:avLst/>
          </a:prstGeom>
        </xdr:spPr>
      </xdr:pic>
      <xdr:sp macro="[0]!Test_End" textlink="">
        <xdr:nvSpPr>
          <xdr:cNvPr id="6" name="NopBai">
            <a:extLst>
              <a:ext uri="{FF2B5EF4-FFF2-40B4-BE49-F238E27FC236}">
                <a16:creationId xmlns:a16="http://schemas.microsoft.com/office/drawing/2014/main" id="{71490AB1-8EC7-916B-97D1-886BC4F14D7D}"/>
              </a:ext>
            </a:extLst>
          </xdr:cNvPr>
          <xdr:cNvSpPr/>
        </xdr:nvSpPr>
        <xdr:spPr>
          <a:xfrm>
            <a:off x="5756978" y="4025510"/>
            <a:ext cx="1008000" cy="288000"/>
          </a:xfrm>
          <a:prstGeom prst="roundRect">
            <a:avLst/>
          </a:prstGeom>
          <a:solidFill>
            <a:srgbClr val="7030A0"/>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b="1">
                <a:latin typeface="Times New Roman" panose="02020603050405020304" pitchFamily="18" charset="0"/>
                <a:cs typeface="Times New Roman" panose="02020603050405020304" pitchFamily="18" charset="0"/>
              </a:rPr>
              <a:t>NỘP BÀI</a:t>
            </a:r>
          </a:p>
        </xdr:txBody>
      </xdr:sp>
      <xdr:sp macro="[0]!Project_Reset_Confirm" textlink="">
        <xdr:nvSpPr>
          <xdr:cNvPr id="7" name="Project_Reset">
            <a:extLst>
              <a:ext uri="{FF2B5EF4-FFF2-40B4-BE49-F238E27FC236}">
                <a16:creationId xmlns:a16="http://schemas.microsoft.com/office/drawing/2014/main" id="{AF3D2EC9-2478-9CE8-0684-F20EA1A9B4DB}"/>
              </a:ext>
            </a:extLst>
          </xdr:cNvPr>
          <xdr:cNvSpPr/>
        </xdr:nvSpPr>
        <xdr:spPr>
          <a:xfrm>
            <a:off x="4538617" y="4025510"/>
            <a:ext cx="1008000" cy="288000"/>
          </a:xfrm>
          <a:prstGeom prst="roundRect">
            <a:avLst/>
          </a:prstGeom>
          <a:solidFill>
            <a:schemeClr val="accent6"/>
          </a:solidFill>
          <a:ln>
            <a:solidFill>
              <a:schemeClr val="bg1">
                <a:lumMod val="6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b="1">
                <a:latin typeface="Times New Roman" panose="02020603050405020304" pitchFamily="18" charset="0"/>
                <a:cs typeface="Times New Roman" panose="02020603050405020304" pitchFamily="18" charset="0"/>
              </a:rPr>
              <a:t>LÀM LẠI</a:t>
            </a:r>
          </a:p>
        </xdr:txBody>
      </xdr:sp>
      <xdr:sp macro="[0]!Task1_Selected" textlink="">
        <xdr:nvSpPr>
          <xdr:cNvPr id="8" name="Task1">
            <a:extLst>
              <a:ext uri="{FF2B5EF4-FFF2-40B4-BE49-F238E27FC236}">
                <a16:creationId xmlns:a16="http://schemas.microsoft.com/office/drawing/2014/main" id="{C441424C-2639-2C9B-C151-39EB58C946D5}"/>
              </a:ext>
            </a:extLst>
          </xdr:cNvPr>
          <xdr:cNvSpPr/>
        </xdr:nvSpPr>
        <xdr:spPr>
          <a:xfrm>
            <a:off x="134745" y="4026566"/>
            <a:ext cx="684000" cy="288000"/>
          </a:xfrm>
          <a:prstGeom prst="roundRect">
            <a:avLst/>
          </a:prstGeom>
          <a:solidFill>
            <a:schemeClr val="accent1"/>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Times New Roman" panose="02020603050405020304" pitchFamily="18" charset="0"/>
                <a:cs typeface="Times New Roman" panose="02020603050405020304" pitchFamily="18" charset="0"/>
              </a:rPr>
              <a:t>Task 1</a:t>
            </a:r>
          </a:p>
        </xdr:txBody>
      </xdr:sp>
      <xdr:sp macro="[0]!Task2_Selected" textlink="">
        <xdr:nvSpPr>
          <xdr:cNvPr id="9" name="Task2">
            <a:extLst>
              <a:ext uri="{FF2B5EF4-FFF2-40B4-BE49-F238E27FC236}">
                <a16:creationId xmlns:a16="http://schemas.microsoft.com/office/drawing/2014/main" id="{99B45ED6-6D43-6AE4-9279-7E3A52D185A1}"/>
              </a:ext>
            </a:extLst>
          </xdr:cNvPr>
          <xdr:cNvSpPr/>
        </xdr:nvSpPr>
        <xdr:spPr>
          <a:xfrm>
            <a:off x="972762" y="4026566"/>
            <a:ext cx="684000" cy="288000"/>
          </a:xfrm>
          <a:prstGeom prst="roundRect">
            <a:avLst/>
          </a:prstGeom>
          <a:solidFill>
            <a:schemeClr val="bg1">
              <a:lumMod val="9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Times New Roman" panose="02020603050405020304" pitchFamily="18" charset="0"/>
                <a:cs typeface="Times New Roman" panose="02020603050405020304" pitchFamily="18" charset="0"/>
              </a:rPr>
              <a:t>Task 2</a:t>
            </a:r>
          </a:p>
        </xdr:txBody>
      </xdr:sp>
      <xdr:sp macro="[0]!Task3_Selected" textlink="">
        <xdr:nvSpPr>
          <xdr:cNvPr id="10" name="Task3">
            <a:extLst>
              <a:ext uri="{FF2B5EF4-FFF2-40B4-BE49-F238E27FC236}">
                <a16:creationId xmlns:a16="http://schemas.microsoft.com/office/drawing/2014/main" id="{F36B4C3F-7964-F126-4D90-C5C760F96828}"/>
              </a:ext>
            </a:extLst>
          </xdr:cNvPr>
          <xdr:cNvSpPr/>
        </xdr:nvSpPr>
        <xdr:spPr>
          <a:xfrm>
            <a:off x="1810779" y="4026566"/>
            <a:ext cx="684000" cy="288000"/>
          </a:xfrm>
          <a:prstGeom prst="roundRect">
            <a:avLst/>
          </a:prstGeom>
          <a:solidFill>
            <a:schemeClr val="bg1">
              <a:lumMod val="9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Times New Roman" panose="02020603050405020304" pitchFamily="18" charset="0"/>
                <a:cs typeface="Times New Roman" panose="02020603050405020304" pitchFamily="18" charset="0"/>
              </a:rPr>
              <a:t>Task 3</a:t>
            </a:r>
          </a:p>
        </xdr:txBody>
      </xdr:sp>
      <xdr:sp macro="[0]!Task4_Selected" textlink="">
        <xdr:nvSpPr>
          <xdr:cNvPr id="11" name="Task4">
            <a:extLst>
              <a:ext uri="{FF2B5EF4-FFF2-40B4-BE49-F238E27FC236}">
                <a16:creationId xmlns:a16="http://schemas.microsoft.com/office/drawing/2014/main" id="{B98AA8B8-1787-0118-8B62-9C7CC89CD85E}"/>
              </a:ext>
            </a:extLst>
          </xdr:cNvPr>
          <xdr:cNvSpPr/>
        </xdr:nvSpPr>
        <xdr:spPr>
          <a:xfrm>
            <a:off x="2648796" y="4026566"/>
            <a:ext cx="684000" cy="288000"/>
          </a:xfrm>
          <a:prstGeom prst="roundRect">
            <a:avLst/>
          </a:prstGeom>
          <a:solidFill>
            <a:schemeClr val="bg1">
              <a:lumMod val="9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Times New Roman" panose="02020603050405020304" pitchFamily="18" charset="0"/>
                <a:cs typeface="Times New Roman" panose="02020603050405020304" pitchFamily="18" charset="0"/>
              </a:rPr>
              <a:t>Task 4</a:t>
            </a:r>
          </a:p>
        </xdr:txBody>
      </xdr:sp>
      <xdr:sp macro="[0]!Task5_Selected" textlink="">
        <xdr:nvSpPr>
          <xdr:cNvPr id="12" name="Task5">
            <a:extLst>
              <a:ext uri="{FF2B5EF4-FFF2-40B4-BE49-F238E27FC236}">
                <a16:creationId xmlns:a16="http://schemas.microsoft.com/office/drawing/2014/main" id="{43BF0652-583D-CFEE-40CB-F57A78EB6F9D}"/>
              </a:ext>
            </a:extLst>
          </xdr:cNvPr>
          <xdr:cNvSpPr/>
        </xdr:nvSpPr>
        <xdr:spPr>
          <a:xfrm>
            <a:off x="3486812" y="4026566"/>
            <a:ext cx="684000" cy="288000"/>
          </a:xfrm>
          <a:prstGeom prst="roundRect">
            <a:avLst/>
          </a:prstGeom>
          <a:solidFill>
            <a:schemeClr val="bg1">
              <a:lumMod val="9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Times New Roman" panose="02020603050405020304" pitchFamily="18" charset="0"/>
                <a:cs typeface="Times New Roman" panose="02020603050405020304" pitchFamily="18" charset="0"/>
              </a:rPr>
              <a:t>Task 5</a:t>
            </a:r>
          </a:p>
        </xdr:txBody>
      </xdr:sp>
      <xdr:sp macro="" textlink="'Đề bài'!B11">
        <xdr:nvSpPr>
          <xdr:cNvPr id="13" name="P1_Task1">
            <a:extLst>
              <a:ext uri="{FF2B5EF4-FFF2-40B4-BE49-F238E27FC236}">
                <a16:creationId xmlns:a16="http://schemas.microsoft.com/office/drawing/2014/main" id="{A01254A5-2E75-6655-69DF-91D7B34F42FB}"/>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11AD6CD-EC3D-47F5-BD0B-4219710F42BF}"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Cấu hình trang tính “Tháng 2” để in các ô A4:F16.</a:t>
            </a:fld>
            <a:endParaRPr lang="en-US" sz="1800" b="1">
              <a:solidFill>
                <a:schemeClr val="accent1"/>
              </a:solidFill>
              <a:latin typeface="Times New Roman" panose="02020603050405020304" pitchFamily="18" charset="0"/>
              <a:cs typeface="Times New Roman" panose="02020603050405020304" pitchFamily="18" charset="0"/>
            </a:endParaRPr>
          </a:p>
        </xdr:txBody>
      </xdr:sp>
      <xdr:sp macro="" textlink="'Đề bài'!B12">
        <xdr:nvSpPr>
          <xdr:cNvPr id="14" name="P1_Task2" hidden="1">
            <a:extLst>
              <a:ext uri="{FF2B5EF4-FFF2-40B4-BE49-F238E27FC236}">
                <a16:creationId xmlns:a16="http://schemas.microsoft.com/office/drawing/2014/main" id="{CC3DF12C-9F84-4952-0C19-CF12AF75EE71}"/>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CCDDDF0-9C93-4478-93D7-34C9C97F5ADD}"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Trên trang tính “Tháng 1”, lọc dữ liệu cho bảng để chỉ hiển thị những nội dung có "Chiết khấu" là "Yes"</a:t>
            </a:fld>
            <a:endParaRPr lang="vi-VN" sz="1800" b="0">
              <a:solidFill>
                <a:sysClr val="windowText" lastClr="000000"/>
              </a:solidFill>
              <a:latin typeface="Times New Roman" panose="02020603050405020304" pitchFamily="18" charset="0"/>
              <a:cs typeface="Times New Roman" panose="02020603050405020304" pitchFamily="18" charset="0"/>
            </a:endParaRPr>
          </a:p>
        </xdr:txBody>
      </xdr:sp>
      <xdr:sp macro="" textlink="'Đề bài'!B13">
        <xdr:nvSpPr>
          <xdr:cNvPr id="40" name="P1_Task3" hidden="1">
            <a:extLst>
              <a:ext uri="{FF2B5EF4-FFF2-40B4-BE49-F238E27FC236}">
                <a16:creationId xmlns:a16="http://schemas.microsoft.com/office/drawing/2014/main" id="{2801BD78-904B-3FEB-6CD5-01645DE433FF}"/>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FD7FD18-6A77-4D5A-B3CB-05800E4BDB89}"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Trên trang tính “Tháng 2”, trong cột “Chiết khấu”, sử dùng hàm để hiển thị “YES” nếu “Số năm tham gia” lớn hơn 5. Ngược lại hiển thị “NO”.</a:t>
            </a:fld>
            <a:endParaRPr lang="vi-VN" sz="1800" b="0">
              <a:solidFill>
                <a:sysClr val="windowText" lastClr="000000"/>
              </a:solidFill>
              <a:latin typeface="Times New Roman" panose="02020603050405020304" pitchFamily="18" charset="0"/>
              <a:cs typeface="Times New Roman" panose="02020603050405020304" pitchFamily="18" charset="0"/>
            </a:endParaRPr>
          </a:p>
        </xdr:txBody>
      </xdr:sp>
      <xdr:sp macro="" textlink="'Đề bài'!B14">
        <xdr:nvSpPr>
          <xdr:cNvPr id="41" name="P1_Task4" hidden="1">
            <a:extLst>
              <a:ext uri="{FF2B5EF4-FFF2-40B4-BE49-F238E27FC236}">
                <a16:creationId xmlns:a16="http://schemas.microsoft.com/office/drawing/2014/main" id="{6789E339-1D60-543A-BCF4-493412238596}"/>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6505E3C-A877-4BFD-A97F-6A335EBE8DB0}"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Trên trang tính “Tháng 2”, trong cột “Loại hợp đồng”, Sử dụng hàm để hiển thị hai ký tự đầu tiên của “Mã hợp đồng” trong cột B.</a:t>
            </a:fld>
            <a:endParaRPr lang="vi-VN" sz="1800" b="0">
              <a:solidFill>
                <a:sysClr val="windowText" lastClr="000000"/>
              </a:solidFill>
              <a:latin typeface="Times New Roman" panose="02020603050405020304" pitchFamily="18" charset="0"/>
              <a:cs typeface="Times New Roman" panose="02020603050405020304" pitchFamily="18" charset="0"/>
            </a:endParaRPr>
          </a:p>
        </xdr:txBody>
      </xdr:sp>
      <xdr:sp macro="" textlink="'Đề bài'!B15">
        <xdr:nvSpPr>
          <xdr:cNvPr id="42" name="P1_Task5" hidden="1">
            <a:extLst>
              <a:ext uri="{FF2B5EF4-FFF2-40B4-BE49-F238E27FC236}">
                <a16:creationId xmlns:a16="http://schemas.microsoft.com/office/drawing/2014/main" id="{1B83AF9D-E132-A2D5-9D86-D29DF8F46485}"/>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0BEE571-FC97-4E2E-BF3C-01BA012A3519}"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Trên trang tính “Tổng hợp 3 tháng”, thêm văn bản thay thế (Alt text) với nội dung “New Data” cho biểu đồ.</a:t>
            </a:fld>
            <a:endParaRPr lang="vi-VN" sz="1800" b="0">
              <a:solidFill>
                <a:sysClr val="windowText" lastClr="000000"/>
              </a:solidFill>
              <a:latin typeface="Times New Roman" panose="02020603050405020304" pitchFamily="18" charset="0"/>
              <a:cs typeface="Times New Roman" panose="02020603050405020304" pitchFamily="18" charset="0"/>
            </a:endParaRPr>
          </a:p>
        </xdr:txBody>
      </xdr:sp>
      <xdr:sp macro="" textlink="'Đề bài'!B16">
        <xdr:nvSpPr>
          <xdr:cNvPr id="43" name="P1_Task6" hidden="1">
            <a:extLst>
              <a:ext uri="{FF2B5EF4-FFF2-40B4-BE49-F238E27FC236}">
                <a16:creationId xmlns:a16="http://schemas.microsoft.com/office/drawing/2014/main" id="{876D45E1-08E9-D5D0-F804-85F021CB39E3}"/>
              </a:ext>
            </a:extLst>
          </xdr:cNvPr>
          <xdr:cNvSpPr/>
        </xdr:nvSpPr>
        <xdr:spPr>
          <a:xfrm>
            <a:off x="115495" y="4502546"/>
            <a:ext cx="10912971" cy="93522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F918491-328B-4271-A09B-1800F162CCB1}"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l"/>
              <a:t> </a:t>
            </a:fld>
            <a:endParaRPr lang="vi-VN" sz="1600" b="0">
              <a:solidFill>
                <a:sysClr val="windowText" lastClr="000000"/>
              </a:solidFill>
              <a:latin typeface="Times New Roman" panose="02020603050405020304" pitchFamily="18" charset="0"/>
              <a:cs typeface="Times New Roman" panose="02020603050405020304" pitchFamily="18" charset="0"/>
            </a:endParaRPr>
          </a:p>
        </xdr:txBody>
      </xdr:sp>
      <xdr:cxnSp macro="">
        <xdr:nvCxnSpPr>
          <xdr:cNvPr id="44" name="Straight Connector 43">
            <a:extLst>
              <a:ext uri="{FF2B5EF4-FFF2-40B4-BE49-F238E27FC236}">
                <a16:creationId xmlns:a16="http://schemas.microsoft.com/office/drawing/2014/main" id="{6B480656-B1ED-3CB6-A6A9-50B974109357}"/>
              </a:ext>
            </a:extLst>
          </xdr:cNvPr>
          <xdr:cNvCxnSpPr/>
        </xdr:nvCxnSpPr>
        <xdr:spPr>
          <a:xfrm>
            <a:off x="4352925" y="4029075"/>
            <a:ext cx="0" cy="288000"/>
          </a:xfrm>
          <a:prstGeom prst="line">
            <a:avLst/>
          </a:prstGeom>
          <a:ln w="38100" cmpd="dbl">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4</xdr:col>
      <xdr:colOff>0</xdr:colOff>
      <xdr:row>1</xdr:row>
      <xdr:rowOff>0</xdr:rowOff>
    </xdr:from>
    <xdr:to>
      <xdr:col>11</xdr:col>
      <xdr:colOff>304800</xdr:colOff>
      <xdr:row>15</xdr:row>
      <xdr:rowOff>85725</xdr:rowOff>
    </xdr:to>
    <xdr:graphicFrame macro="">
      <xdr:nvGraphicFramePr>
        <xdr:cNvPr id="16" name="Chart 1">
          <a:extLst>
            <a:ext uri="{FF2B5EF4-FFF2-40B4-BE49-F238E27FC236}">
              <a16:creationId xmlns:a16="http://schemas.microsoft.com/office/drawing/2014/main" id="{F3C1C4F3-A575-40EE-8D90-835E2CE5F6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wsDr>
</file>

<file path=xl/drawings/drawing5.xml><?xml version="1.0" encoding="utf-8"?>
<xdr:wsDr xmlns:xdr="http://schemas.openxmlformats.org/drawingml/2006/spreadsheetDrawing" xmlns:a="http://schemas.openxmlformats.org/drawingml/2006/main">
  <xdr:twoCellAnchor editAs="oneCell">
    <xdr:from>
      <xdr:col>1</xdr:col>
      <xdr:colOff>142877</xdr:colOff>
      <xdr:row>1</xdr:row>
      <xdr:rowOff>19050</xdr:rowOff>
    </xdr:from>
    <xdr:to>
      <xdr:col>2</xdr:col>
      <xdr:colOff>254277</xdr:colOff>
      <xdr:row>2</xdr:row>
      <xdr:rowOff>321900</xdr:rowOff>
    </xdr:to>
    <xdr:pic>
      <xdr:nvPicPr>
        <xdr:cNvPr id="2" name="Picture 1">
          <a:extLst>
            <a:ext uri="{FF2B5EF4-FFF2-40B4-BE49-F238E27FC236}">
              <a16:creationId xmlns:a16="http://schemas.microsoft.com/office/drawing/2014/main" id="{EEBC455B-BFDA-4FBA-B566-75742442766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537" t="12234" r="16045" b="22340"/>
        <a:stretch>
          <a:fillRect/>
        </a:stretch>
      </xdr:blipFill>
      <xdr:spPr>
        <a:xfrm>
          <a:off x="409577" y="76200"/>
          <a:ext cx="520975" cy="360000"/>
        </a:xfrm>
        <a:prstGeom prst="rect">
          <a:avLst/>
        </a:prstGeom>
      </xdr:spPr>
    </xdr:pic>
    <xdr:clientData/>
  </xdr:twoCellAnchor>
  <xdr:twoCellAnchor editAs="absolute">
    <xdr:from>
      <xdr:col>4</xdr:col>
      <xdr:colOff>3819525</xdr:colOff>
      <xdr:row>7</xdr:row>
      <xdr:rowOff>38100</xdr:rowOff>
    </xdr:from>
    <xdr:to>
      <xdr:col>6</xdr:col>
      <xdr:colOff>1000126</xdr:colOff>
      <xdr:row>9</xdr:row>
      <xdr:rowOff>200024</xdr:rowOff>
    </xdr:to>
    <xdr:sp macro="[0]!XemLai_Bai" textlink="">
      <xdr:nvSpPr>
        <xdr:cNvPr id="3" name="Rectangle: Rounded Corners 2">
          <a:extLst>
            <a:ext uri="{FF2B5EF4-FFF2-40B4-BE49-F238E27FC236}">
              <a16:creationId xmlns:a16="http://schemas.microsoft.com/office/drawing/2014/main" id="{39B0D776-B37B-CD8A-740F-D5EBDD859CE4}"/>
            </a:ext>
          </a:extLst>
        </xdr:cNvPr>
        <xdr:cNvSpPr>
          <a:spLocks noChangeAspect="1"/>
        </xdr:cNvSpPr>
      </xdr:nvSpPr>
      <xdr:spPr>
        <a:xfrm>
          <a:off x="6076950" y="1485900"/>
          <a:ext cx="2028826" cy="495299"/>
        </a:xfrm>
        <a:prstGeom prst="roundRect">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lstStyle/>
        <a:p>
          <a:pPr algn="ctr"/>
          <a:r>
            <a:rPr lang="en-US" sz="1400" b="1" i="0" u="none" strike="noStrike" baseline="0">
              <a:solidFill>
                <a:schemeClr val="bg1"/>
              </a:solidFill>
              <a:latin typeface="Times New Roman" panose="02020603050405020304" pitchFamily="18" charset="0"/>
              <a:ea typeface="Calibri"/>
              <a:cs typeface="Times New Roman" panose="02020603050405020304" pitchFamily="18" charset="0"/>
            </a:rPr>
            <a:t>XEM LẠI BÀI LÀM</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582930</xdr:colOff>
      <xdr:row>18</xdr:row>
      <xdr:rowOff>160020</xdr:rowOff>
    </xdr:from>
    <xdr:to>
      <xdr:col>9</xdr:col>
      <xdr:colOff>502455</xdr:colOff>
      <xdr:row>21</xdr:row>
      <xdr:rowOff>164520</xdr:rowOff>
    </xdr:to>
    <xdr:sp macro="[0]!Test_Start" textlink="">
      <xdr:nvSpPr>
        <xdr:cNvPr id="2" name="Rectangle: Rounded Corners 1">
          <a:extLst>
            <a:ext uri="{FF2B5EF4-FFF2-40B4-BE49-F238E27FC236}">
              <a16:creationId xmlns:a16="http://schemas.microsoft.com/office/drawing/2014/main" id="{B39BBF22-42BD-4FA2-B8A0-9D6FE8FD2F3B}"/>
            </a:ext>
          </a:extLst>
        </xdr:cNvPr>
        <xdr:cNvSpPr/>
      </xdr:nvSpPr>
      <xdr:spPr>
        <a:xfrm>
          <a:off x="3602355" y="3760470"/>
          <a:ext cx="2196000" cy="576000"/>
        </a:xfrm>
        <a:prstGeom prst="roundRect">
          <a:avLst/>
        </a:prstGeom>
        <a:solidFill>
          <a:srgbClr val="184D97"/>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a:latin typeface="Times New Roman" panose="02020603050405020304" pitchFamily="18" charset="0"/>
              <a:cs typeface="Times New Roman" panose="02020603050405020304" pitchFamily="18" charset="0"/>
            </a:rPr>
            <a:t>Bắt đầu làm bài</a:t>
          </a:r>
        </a:p>
      </xdr:txBody>
    </xdr:sp>
    <xdr:clientData/>
  </xdr:twoCellAnchor>
  <xdr:twoCellAnchor>
    <xdr:from>
      <xdr:col>11</xdr:col>
      <xdr:colOff>335280</xdr:colOff>
      <xdr:row>20</xdr:row>
      <xdr:rowOff>121920</xdr:rowOff>
    </xdr:from>
    <xdr:to>
      <xdr:col>12</xdr:col>
      <xdr:colOff>533400</xdr:colOff>
      <xdr:row>22</xdr:row>
      <xdr:rowOff>121920</xdr:rowOff>
    </xdr:to>
    <xdr:sp macro="[0]!Reset_All" textlink="">
      <xdr:nvSpPr>
        <xdr:cNvPr id="3" name="Rectangle: Rounded Corners 2">
          <a:extLst>
            <a:ext uri="{FF2B5EF4-FFF2-40B4-BE49-F238E27FC236}">
              <a16:creationId xmlns:a16="http://schemas.microsoft.com/office/drawing/2014/main" id="{67E679A0-AA69-4D7E-AA2F-273E3A0BA376}"/>
            </a:ext>
          </a:extLst>
        </xdr:cNvPr>
        <xdr:cNvSpPr/>
      </xdr:nvSpPr>
      <xdr:spPr>
        <a:xfrm>
          <a:off x="6888480" y="4206240"/>
          <a:ext cx="807720" cy="350520"/>
        </a:xfrm>
        <a:prstGeom prst="roundRect">
          <a:avLst/>
        </a:prstGeom>
        <a:noFill/>
        <a:ln>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200" b="1" u="sng">
              <a:solidFill>
                <a:srgbClr val="FF0000"/>
              </a:solidFill>
              <a:latin typeface="Times New Roman" panose="02020603050405020304" pitchFamily="18" charset="0"/>
              <a:cs typeface="Times New Roman" panose="02020603050405020304" pitchFamily="18" charset="0"/>
            </a:rPr>
            <a:t>RESET</a:t>
          </a:r>
        </a:p>
      </xdr:txBody>
    </xdr:sp>
    <xdr:clientData/>
  </xdr:twoCellAnchor>
  <xdr:twoCellAnchor editAs="oneCell">
    <xdr:from>
      <xdr:col>11</xdr:col>
      <xdr:colOff>238127</xdr:colOff>
      <xdr:row>1</xdr:row>
      <xdr:rowOff>142875</xdr:rowOff>
    </xdr:from>
    <xdr:to>
      <xdr:col>12</xdr:col>
      <xdr:colOff>462087</xdr:colOff>
      <xdr:row>5</xdr:row>
      <xdr:rowOff>71175</xdr:rowOff>
    </xdr:to>
    <xdr:pic>
      <xdr:nvPicPr>
        <xdr:cNvPr id="5" name="Picture 4">
          <a:extLst>
            <a:ext uri="{FF2B5EF4-FFF2-40B4-BE49-F238E27FC236}">
              <a16:creationId xmlns:a16="http://schemas.microsoft.com/office/drawing/2014/main" id="{70B6E93F-7CF4-C020-FC61-C2684177CE9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7537" t="12234" r="16045" b="22340"/>
        <a:stretch>
          <a:fillRect/>
        </a:stretch>
      </xdr:blipFill>
      <xdr:spPr>
        <a:xfrm>
          <a:off x="6753227" y="333375"/>
          <a:ext cx="833560" cy="576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9</xdr:col>
      <xdr:colOff>599439</xdr:colOff>
      <xdr:row>14</xdr:row>
      <xdr:rowOff>87636</xdr:rowOff>
    </xdr:from>
    <xdr:to>
      <xdr:col>14</xdr:col>
      <xdr:colOff>88899</xdr:colOff>
      <xdr:row>29</xdr:row>
      <xdr:rowOff>87636</xdr:rowOff>
    </xdr:to>
    <xdr:graphicFrame macro="">
      <xdr:nvGraphicFramePr>
        <xdr:cNvPr id="2" name="Chart 1">
          <a:extLst>
            <a:ext uri="{FF2B5EF4-FFF2-40B4-BE49-F238E27FC236}">
              <a16:creationId xmlns:a16="http://schemas.microsoft.com/office/drawing/2014/main" id="{FDD56217-A202-410E-9E46-65AFD12B61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30</xdr:col>
      <xdr:colOff>0</xdr:colOff>
      <xdr:row>5</xdr:row>
      <xdr:rowOff>243840</xdr:rowOff>
    </xdr:from>
    <xdr:to>
      <xdr:col>36</xdr:col>
      <xdr:colOff>274320</xdr:colOff>
      <xdr:row>17</xdr:row>
      <xdr:rowOff>220980</xdr:rowOff>
    </xdr:to>
    <xdr:graphicFrame macro="">
      <xdr:nvGraphicFramePr>
        <xdr:cNvPr id="2" name="Chart 1">
          <a:extLst>
            <a:ext uri="{FF2B5EF4-FFF2-40B4-BE49-F238E27FC236}">
              <a16:creationId xmlns:a16="http://schemas.microsoft.com/office/drawing/2014/main" id="{74A1D692-70DB-4897-8D9A-2D09D5F30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absoluteAnchor>
    <xdr:pos x="40290750" y="485774"/>
    <xdr:ext cx="6838950" cy="3600000"/>
    <xdr:graphicFrame macro="">
      <xdr:nvGraphicFramePr>
        <xdr:cNvPr id="2" name="Chart 1">
          <a:extLst>
            <a:ext uri="{FF2B5EF4-FFF2-40B4-BE49-F238E27FC236}">
              <a16:creationId xmlns:a16="http://schemas.microsoft.com/office/drawing/2014/main" id="{C534A02A-29BA-426C-913C-66F9B5B2E16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twoCellAnchor editAs="absolute">
    <xdr:from>
      <xdr:col>21</xdr:col>
      <xdr:colOff>224790</xdr:colOff>
      <xdr:row>4</xdr:row>
      <xdr:rowOff>161925</xdr:rowOff>
    </xdr:from>
    <xdr:to>
      <xdr:col>28</xdr:col>
      <xdr:colOff>529590</xdr:colOff>
      <xdr:row>19</xdr:row>
      <xdr:rowOff>161925</xdr:rowOff>
    </xdr:to>
    <xdr:graphicFrame macro="">
      <xdr:nvGraphicFramePr>
        <xdr:cNvPr id="2" name="Chart 1">
          <a:extLst>
            <a:ext uri="{FF2B5EF4-FFF2-40B4-BE49-F238E27FC236}">
              <a16:creationId xmlns:a16="http://schemas.microsoft.com/office/drawing/2014/main" id="{F21A6316-DD5D-400B-9DC7-824C62BD93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30</xdr:col>
      <xdr:colOff>179070</xdr:colOff>
      <xdr:row>9</xdr:row>
      <xdr:rowOff>129540</xdr:rowOff>
    </xdr:from>
    <xdr:to>
      <xdr:col>35</xdr:col>
      <xdr:colOff>702945</xdr:colOff>
      <xdr:row>24</xdr:row>
      <xdr:rowOff>129540</xdr:rowOff>
    </xdr:to>
    <xdr:graphicFrame macro="">
      <xdr:nvGraphicFramePr>
        <xdr:cNvPr id="3" name="Chart 2">
          <a:extLst>
            <a:ext uri="{FF2B5EF4-FFF2-40B4-BE49-F238E27FC236}">
              <a16:creationId xmlns:a16="http://schemas.microsoft.com/office/drawing/2014/main" id="{1DABD981-36D1-484D-950A-A872FF85CE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41910</xdr:colOff>
      <xdr:row>6</xdr:row>
      <xdr:rowOff>102870</xdr:rowOff>
    </xdr:from>
    <xdr:to>
      <xdr:col>10</xdr:col>
      <xdr:colOff>834390</xdr:colOff>
      <xdr:row>21</xdr:row>
      <xdr:rowOff>93345</xdr:rowOff>
    </xdr:to>
    <xdr:graphicFrame macro="">
      <xdr:nvGraphicFramePr>
        <xdr:cNvPr id="2" name="Chart 1">
          <a:extLst>
            <a:ext uri="{FF2B5EF4-FFF2-40B4-BE49-F238E27FC236}">
              <a16:creationId xmlns:a16="http://schemas.microsoft.com/office/drawing/2014/main" id="{A525B6EA-B6BF-45AF-9D2E-1C9E610ABC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13</xdr:col>
      <xdr:colOff>436244</xdr:colOff>
      <xdr:row>4</xdr:row>
      <xdr:rowOff>205739</xdr:rowOff>
    </xdr:from>
    <xdr:to>
      <xdr:col>21</xdr:col>
      <xdr:colOff>131444</xdr:colOff>
      <xdr:row>19</xdr:row>
      <xdr:rowOff>160019</xdr:rowOff>
    </xdr:to>
    <xdr:graphicFrame macro="">
      <xdr:nvGraphicFramePr>
        <xdr:cNvPr id="2" name="Chart 1">
          <a:extLst>
            <a:ext uri="{FF2B5EF4-FFF2-40B4-BE49-F238E27FC236}">
              <a16:creationId xmlns:a16="http://schemas.microsoft.com/office/drawing/2014/main" id="{0BA596DA-1B87-4DBA-A752-D4C059FAC7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AC4E07E-7B26-4763-BD26-6A970FB7BD41}" name="P2_Table1" displayName="P2_Table1" ref="A4:G12" totalsRowShown="0" headerRowDxfId="22" dataDxfId="23">
  <autoFilter ref="A4:G12" xr:uid="{5AC4E07E-7B26-4763-BD26-6A970FB7BD41}"/>
  <tableColumns count="7">
    <tableColumn id="1" xr3:uid="{5985463E-2393-43D2-B255-D55310A618D0}" name="Mã KH" dataDxfId="30"/>
    <tableColumn id="2" xr3:uid="{6E4FEC04-8E8F-4EC2-B4DE-567EEFB21DAD}" name="Mã Hợp đồng" dataDxfId="29"/>
    <tableColumn id="3" xr3:uid="{A27F69E3-5D80-4E98-8A94-8F709DAE5369}" name="Nhân viên phụ trách" dataDxfId="28"/>
    <tableColumn id="4" xr3:uid="{4505B49F-545F-4136-A52C-0FEF52B61010}" name="Ngày gia hạn" dataDxfId="27"/>
    <tableColumn id="5" xr3:uid="{307C5411-5C52-4CB7-9EA8-FF6AE26AFF70}" name="Số năm tham gia" dataDxfId="26"/>
    <tableColumn id="6" xr3:uid="{DCA734BF-B89C-4037-9BD3-BBF873BF4A0B}" name="Loại Hợp đồng" dataDxfId="25"/>
    <tableColumn id="7" xr3:uid="{A6FBCF9B-99EF-4285-B5B3-205F15128C99}" name="Chiết khấu" dataDxfId="24"/>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1FCFCA7-701B-4ECA-AE06-2AF668264056}" name="P2_Table2" displayName="P2_Table2" ref="A4:G16" totalsRowShown="0" headerRowDxfId="13" dataDxfId="14">
  <autoFilter ref="A4:G16" xr:uid="{21FCFCA7-701B-4ECA-AE06-2AF668264056}"/>
  <tableColumns count="7">
    <tableColumn id="1" xr3:uid="{0D61B372-25C6-4211-8B68-234568CF48A1}" name="Mã KH" dataDxfId="21"/>
    <tableColumn id="2" xr3:uid="{F73FC37C-EF60-4755-9A40-D9597D83481F}" name="Mã Hợp đồng" dataDxfId="20"/>
    <tableColumn id="3" xr3:uid="{7EA406FF-B8BC-46B8-AD9B-BFDFBBAE5AF4}" name="Nhân viên phụ trách" dataDxfId="19"/>
    <tableColumn id="4" xr3:uid="{D0DF213B-3DAA-4DF4-987B-D866353978D1}" name="Ngày gia hạn" dataDxfId="18"/>
    <tableColumn id="5" xr3:uid="{BEA7E6CE-1FA3-4177-8F8B-71C78F50CB0A}" name="Số năm tham gia" dataDxfId="17"/>
    <tableColumn id="6" xr3:uid="{F6F2FA61-A21C-4790-A8E2-E9BCDB756BBB}" name="Loại Hợp đồng" dataDxfId="16"/>
    <tableColumn id="7" xr3:uid="{DF116580-ABA7-4587-A6B4-404D12136FAB}" name="Chiết khấu" dataDxfId="15"/>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6D4F3A-139A-4356-9B5A-ED3246CC6BBF}" name="P2_Table3" displayName="P2_Table3" ref="A4:G13" totalsRowShown="0" headerRowDxfId="4" dataDxfId="5">
  <autoFilter ref="A4:G13" xr:uid="{D96D4F3A-139A-4356-9B5A-ED3246CC6BBF}"/>
  <tableColumns count="7">
    <tableColumn id="1" xr3:uid="{301C5629-07DD-4FB3-9749-A9F14AFF153E}" name="Mã KH" dataDxfId="12"/>
    <tableColumn id="2" xr3:uid="{E04B7C40-A4A3-467B-A47E-5BDAFA248B49}" name="Mã Hợp đồng" dataDxfId="11"/>
    <tableColumn id="3" xr3:uid="{0EC09E57-9CFC-4EC9-B090-1D14342B5D94}" name="Nhân viên phụ trách" dataDxfId="10"/>
    <tableColumn id="4" xr3:uid="{CF6B76D2-E4EF-4DE5-805A-77654421DE93}" name="Ngày gia hạn" dataDxfId="9"/>
    <tableColumn id="5" xr3:uid="{364CD511-51D7-41BD-BFE0-52A65890F841}" name="Số năm tham gia" dataDxfId="8"/>
    <tableColumn id="6" xr3:uid="{B043C787-58EE-4AF5-A202-D05565CC7B57}" name="Loại Hợp đồng" dataDxfId="7"/>
    <tableColumn id="7" xr3:uid="{FAF009BC-253A-4F34-A8A9-0947A28E8813}" name="Chiết khấu" dataDxfId="6"/>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4770C01-203B-4389-ABF2-0798EE985A9C}" name="P2_Table4" displayName="P2_Table4" ref="A4:B7" totalsRowShown="0" headerRowDxfId="0" dataDxfId="1">
  <autoFilter ref="A4:B7" xr:uid="{B4770C01-203B-4389-ABF2-0798EE985A9C}"/>
  <tableColumns count="2">
    <tableColumn id="1" xr3:uid="{1CB031A4-94A3-4EEE-BE88-7404FC7EA6FB}" name="Tháng" dataDxfId="3"/>
    <tableColumn id="2" xr3:uid="{B9C1F49C-3CC2-48B3-A367-14183D7BC450}" name="Số hợp đồng" dataDxfId="2"/>
  </tableColumns>
  <tableStyleInfo name="TableStyleMedium6"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1"/>
        </a:solidFill>
      </a:spPr>
      <a:bodyPr vertOverflow="clip" horzOverflow="clip" tIns="457200" rtlCol="0" anchor="t"/>
      <a:lstStyle>
        <a:defPPr algn="l">
          <a:defRPr sz="1200" b="1" i="0" u="none" strike="noStrike" baseline="0">
            <a:solidFill>
              <a:srgbClr val="000000"/>
            </a:solidFill>
            <a:latin typeface="Times New Roman" panose="02020603050405020304" pitchFamily="18" charset="0"/>
            <a:ea typeface="Calibri"/>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510C-C76D-4573-AD8E-E3FC28CA0464}">
  <sheetPr codeName="Sheet11">
    <tabColor theme="8" tint="0.79998168889431442"/>
  </sheetPr>
  <dimension ref="A1:R30"/>
  <sheetViews>
    <sheetView workbookViewId="0">
      <selection activeCell="C11" sqref="C11"/>
    </sheetView>
  </sheetViews>
  <sheetFormatPr defaultRowHeight="15" x14ac:dyDescent="0.25"/>
  <cols>
    <col min="1" max="1" width="12.7109375" customWidth="1"/>
    <col min="2" max="2" width="15.7109375" customWidth="1"/>
    <col min="3" max="3" width="20.7109375" customWidth="1"/>
    <col min="4" max="4" width="15.7109375" customWidth="1"/>
    <col min="5" max="6" width="18.7109375" customWidth="1"/>
    <col min="7" max="7" width="14.7109375" customWidth="1"/>
  </cols>
  <sheetData>
    <row r="1" spans="1:18" ht="33" customHeight="1" x14ac:dyDescent="0.5">
      <c r="A1" s="354" t="s">
        <v>415</v>
      </c>
      <c r="B1" s="354"/>
      <c r="C1" s="354"/>
      <c r="D1" s="330"/>
      <c r="E1" s="330"/>
      <c r="F1" s="330"/>
      <c r="G1" s="330"/>
      <c r="H1" s="330"/>
      <c r="I1" s="330"/>
      <c r="J1" s="330"/>
      <c r="K1" s="330"/>
      <c r="L1" s="330"/>
      <c r="M1" s="330"/>
      <c r="N1" s="330"/>
      <c r="O1" s="330"/>
      <c r="P1" s="330"/>
      <c r="Q1" s="330"/>
      <c r="R1" s="330"/>
    </row>
    <row r="2" spans="1:18" ht="9.9499999999999993" customHeight="1" x14ac:dyDescent="0.25">
      <c r="A2" s="330"/>
      <c r="B2" s="330"/>
      <c r="C2" s="330"/>
      <c r="D2" s="330"/>
      <c r="E2" s="330"/>
      <c r="F2" s="330"/>
      <c r="G2" s="330"/>
      <c r="H2" s="330"/>
      <c r="I2" s="330"/>
      <c r="J2" s="330"/>
      <c r="K2" s="330"/>
      <c r="L2" s="330"/>
      <c r="M2" s="330"/>
      <c r="N2" s="330"/>
      <c r="O2" s="330"/>
      <c r="P2" s="330"/>
      <c r="Q2" s="330"/>
      <c r="R2" s="330"/>
    </row>
    <row r="3" spans="1:18" ht="20.100000000000001" customHeight="1" x14ac:dyDescent="0.3">
      <c r="A3" s="333" t="s">
        <v>414</v>
      </c>
      <c r="B3" s="333">
        <v>8</v>
      </c>
      <c r="C3" s="330"/>
      <c r="D3" s="330"/>
      <c r="E3" s="330"/>
      <c r="F3" s="330"/>
      <c r="G3" s="330"/>
      <c r="H3" s="330"/>
      <c r="I3" s="330"/>
      <c r="J3" s="330"/>
      <c r="K3" s="330"/>
      <c r="L3" s="330"/>
      <c r="M3" s="330"/>
      <c r="N3" s="330"/>
      <c r="O3" s="330"/>
      <c r="P3" s="330"/>
      <c r="Q3" s="330"/>
      <c r="R3" s="330"/>
    </row>
    <row r="4" spans="1:18" ht="15.95" customHeight="1" x14ac:dyDescent="0.25">
      <c r="A4" s="330" t="s">
        <v>421</v>
      </c>
      <c r="B4" s="330" t="s">
        <v>422</v>
      </c>
      <c r="C4" s="330" t="s">
        <v>458</v>
      </c>
      <c r="D4" s="330" t="s">
        <v>423</v>
      </c>
      <c r="E4" s="330" t="s">
        <v>426</v>
      </c>
      <c r="F4" s="330" t="s">
        <v>424</v>
      </c>
      <c r="G4" s="330" t="s">
        <v>425</v>
      </c>
      <c r="H4" s="330"/>
      <c r="I4" s="330"/>
      <c r="J4" s="330"/>
      <c r="K4" s="330"/>
      <c r="L4" s="330"/>
      <c r="M4" s="330"/>
      <c r="N4" s="330"/>
      <c r="O4" s="330"/>
      <c r="P4" s="330"/>
      <c r="Q4" s="330"/>
      <c r="R4" s="330"/>
    </row>
    <row r="5" spans="1:18" ht="15.95" customHeight="1" x14ac:dyDescent="0.25">
      <c r="A5" s="330" t="s">
        <v>429</v>
      </c>
      <c r="B5" s="330" t="s">
        <v>76</v>
      </c>
      <c r="C5" s="330" t="s">
        <v>465</v>
      </c>
      <c r="D5" s="332">
        <v>44224</v>
      </c>
      <c r="E5" s="330">
        <v>5</v>
      </c>
      <c r="F5" s="330" t="s">
        <v>77</v>
      </c>
      <c r="G5" s="330" t="s">
        <v>78</v>
      </c>
      <c r="H5" s="330"/>
      <c r="I5" s="330"/>
      <c r="J5" s="330"/>
      <c r="K5" s="330"/>
      <c r="L5" s="330"/>
      <c r="M5" s="330"/>
      <c r="N5" s="330"/>
      <c r="O5" s="330"/>
      <c r="P5" s="330"/>
      <c r="Q5" s="330"/>
      <c r="R5" s="330"/>
    </row>
    <row r="6" spans="1:18" ht="15.95" customHeight="1" x14ac:dyDescent="0.25">
      <c r="A6" s="330" t="s">
        <v>430</v>
      </c>
      <c r="B6" s="330" t="s">
        <v>79</v>
      </c>
      <c r="C6" s="330" t="s">
        <v>468</v>
      </c>
      <c r="D6" s="332">
        <v>44222</v>
      </c>
      <c r="E6" s="330">
        <v>6</v>
      </c>
      <c r="F6" s="330" t="s">
        <v>80</v>
      </c>
      <c r="G6" s="330" t="s">
        <v>78</v>
      </c>
      <c r="H6" s="330"/>
      <c r="I6" s="330"/>
      <c r="J6" s="330"/>
      <c r="K6" s="330"/>
      <c r="L6" s="330"/>
      <c r="M6" s="330"/>
      <c r="N6" s="330"/>
      <c r="O6" s="330"/>
      <c r="P6" s="330"/>
      <c r="Q6" s="330"/>
      <c r="R6" s="330"/>
    </row>
    <row r="7" spans="1:18" ht="15.95" customHeight="1" x14ac:dyDescent="0.25">
      <c r="A7" s="330" t="s">
        <v>431</v>
      </c>
      <c r="B7" s="330" t="s">
        <v>81</v>
      </c>
      <c r="C7" s="330" t="s">
        <v>469</v>
      </c>
      <c r="D7" s="332">
        <v>44218</v>
      </c>
      <c r="E7" s="330">
        <v>5</v>
      </c>
      <c r="F7" s="330" t="s">
        <v>82</v>
      </c>
      <c r="G7" s="330" t="s">
        <v>78</v>
      </c>
      <c r="H7" s="330"/>
      <c r="I7" s="330"/>
      <c r="J7" s="330"/>
      <c r="K7" s="330"/>
      <c r="L7" s="330"/>
      <c r="M7" s="330"/>
      <c r="N7" s="330"/>
      <c r="O7" s="330"/>
      <c r="P7" s="330"/>
      <c r="Q7" s="330"/>
      <c r="R7" s="330"/>
    </row>
    <row r="8" spans="1:18" ht="15.95" customHeight="1" x14ac:dyDescent="0.25">
      <c r="A8" s="330" t="s">
        <v>432</v>
      </c>
      <c r="B8" s="330" t="s">
        <v>83</v>
      </c>
      <c r="C8" s="330" t="s">
        <v>470</v>
      </c>
      <c r="D8" s="332">
        <v>44211</v>
      </c>
      <c r="E8" s="330">
        <v>7</v>
      </c>
      <c r="F8" s="330" t="s">
        <v>82</v>
      </c>
      <c r="G8" s="330" t="s">
        <v>78</v>
      </c>
      <c r="H8" s="330"/>
      <c r="I8" s="330"/>
      <c r="J8" s="330"/>
      <c r="K8" s="330"/>
      <c r="L8" s="330"/>
      <c r="M8" s="330"/>
      <c r="N8" s="330"/>
      <c r="O8" s="330"/>
      <c r="P8" s="330"/>
      <c r="Q8" s="330"/>
      <c r="R8" s="330"/>
    </row>
    <row r="9" spans="1:18" ht="15.95" customHeight="1" x14ac:dyDescent="0.25">
      <c r="A9" s="330" t="s">
        <v>433</v>
      </c>
      <c r="B9" s="330" t="s">
        <v>84</v>
      </c>
      <c r="C9" s="330" t="s">
        <v>471</v>
      </c>
      <c r="D9" s="332">
        <v>44209</v>
      </c>
      <c r="E9" s="330">
        <v>5</v>
      </c>
      <c r="F9" s="330" t="s">
        <v>80</v>
      </c>
      <c r="G9" s="330" t="s">
        <v>78</v>
      </c>
      <c r="H9" s="330"/>
      <c r="I9" s="330"/>
      <c r="J9" s="330"/>
      <c r="K9" s="330"/>
      <c r="L9" s="330"/>
      <c r="M9" s="330"/>
      <c r="N9" s="330"/>
      <c r="O9" s="330"/>
      <c r="P9" s="330"/>
      <c r="Q9" s="330"/>
      <c r="R9" s="330"/>
    </row>
    <row r="10" spans="1:18" ht="15.95" customHeight="1" x14ac:dyDescent="0.25">
      <c r="A10" s="330" t="s">
        <v>434</v>
      </c>
      <c r="B10" s="330" t="s">
        <v>85</v>
      </c>
      <c r="C10" s="330" t="s">
        <v>470</v>
      </c>
      <c r="D10" s="332">
        <v>44227</v>
      </c>
      <c r="E10" s="330">
        <v>6</v>
      </c>
      <c r="F10" s="330" t="s">
        <v>77</v>
      </c>
      <c r="G10" s="330" t="s">
        <v>78</v>
      </c>
      <c r="H10" s="330"/>
      <c r="I10" s="330"/>
      <c r="J10" s="330"/>
      <c r="K10" s="330"/>
      <c r="L10" s="330"/>
      <c r="M10" s="330"/>
      <c r="N10" s="330"/>
      <c r="O10" s="330"/>
      <c r="P10" s="330"/>
      <c r="Q10" s="330"/>
      <c r="R10" s="330"/>
    </row>
    <row r="11" spans="1:18" x14ac:dyDescent="0.25">
      <c r="A11" s="330" t="s">
        <v>435</v>
      </c>
      <c r="B11" s="330" t="s">
        <v>86</v>
      </c>
      <c r="C11" s="330" t="s">
        <v>467</v>
      </c>
      <c r="D11" s="332">
        <v>44221</v>
      </c>
      <c r="E11" s="330">
        <v>3</v>
      </c>
      <c r="F11" s="330" t="s">
        <v>77</v>
      </c>
      <c r="G11" s="330" t="s">
        <v>87</v>
      </c>
      <c r="H11" s="330"/>
      <c r="I11" s="330"/>
      <c r="J11" s="330"/>
      <c r="K11" s="330"/>
      <c r="L11" s="330"/>
      <c r="M11" s="330"/>
      <c r="N11" s="330"/>
      <c r="O11" s="330"/>
      <c r="P11" s="330"/>
      <c r="Q11" s="330"/>
      <c r="R11" s="330"/>
    </row>
    <row r="12" spans="1:18" x14ac:dyDescent="0.25">
      <c r="A12" s="330" t="s">
        <v>436</v>
      </c>
      <c r="B12" s="330" t="s">
        <v>88</v>
      </c>
      <c r="C12" s="330" t="s">
        <v>470</v>
      </c>
      <c r="D12" s="332">
        <v>44216</v>
      </c>
      <c r="E12" s="330">
        <v>1</v>
      </c>
      <c r="F12" s="330" t="s">
        <v>82</v>
      </c>
      <c r="G12" s="330" t="s">
        <v>87</v>
      </c>
      <c r="H12" s="330"/>
      <c r="I12" s="330"/>
      <c r="J12" s="330"/>
      <c r="K12" s="330"/>
      <c r="L12" s="330"/>
      <c r="M12" s="330"/>
      <c r="N12" s="330"/>
      <c r="O12" s="330"/>
      <c r="P12" s="330"/>
      <c r="Q12" s="330"/>
      <c r="R12" s="330"/>
    </row>
    <row r="13" spans="1:18" x14ac:dyDescent="0.25">
      <c r="A13" s="330"/>
      <c r="B13" s="330"/>
      <c r="C13" s="330"/>
      <c r="D13" s="330"/>
      <c r="E13" s="330"/>
      <c r="F13" s="330"/>
      <c r="G13" s="330"/>
      <c r="H13" s="330"/>
      <c r="I13" s="330"/>
      <c r="J13" s="330"/>
      <c r="K13" s="330"/>
      <c r="L13" s="330"/>
      <c r="M13" s="330"/>
      <c r="N13" s="330"/>
      <c r="O13" s="330"/>
      <c r="P13" s="330"/>
      <c r="Q13" s="330"/>
      <c r="R13" s="330"/>
    </row>
    <row r="14" spans="1:18" x14ac:dyDescent="0.25">
      <c r="A14" s="330"/>
      <c r="B14" s="330"/>
      <c r="C14" s="330"/>
      <c r="D14" s="330"/>
      <c r="E14" s="330"/>
      <c r="F14" s="330"/>
      <c r="G14" s="330"/>
      <c r="H14" s="330"/>
      <c r="I14" s="330"/>
      <c r="J14" s="330"/>
      <c r="K14" s="330"/>
      <c r="L14" s="330"/>
      <c r="M14" s="330"/>
      <c r="N14" s="330"/>
      <c r="O14" s="330"/>
      <c r="P14" s="330"/>
      <c r="Q14" s="330"/>
      <c r="R14" s="330"/>
    </row>
    <row r="15" spans="1:18" x14ac:dyDescent="0.25">
      <c r="A15" s="330"/>
      <c r="B15" s="330"/>
      <c r="C15" s="330"/>
      <c r="D15" s="330"/>
      <c r="E15" s="330"/>
      <c r="F15" s="330"/>
      <c r="G15" s="330"/>
      <c r="H15" s="330"/>
      <c r="I15" s="330"/>
      <c r="J15" s="330"/>
      <c r="K15" s="330"/>
      <c r="L15" s="330"/>
      <c r="M15" s="330"/>
      <c r="N15" s="330"/>
      <c r="O15" s="330"/>
      <c r="P15" s="330"/>
      <c r="Q15" s="330"/>
      <c r="R15" s="330"/>
    </row>
    <row r="16" spans="1:18" x14ac:dyDescent="0.25">
      <c r="A16" s="330"/>
      <c r="B16" s="330"/>
      <c r="C16" s="330"/>
      <c r="D16" s="330"/>
      <c r="E16" s="330"/>
      <c r="F16" s="330"/>
      <c r="G16" s="330"/>
      <c r="H16" s="330"/>
      <c r="I16" s="330"/>
      <c r="J16" s="330"/>
      <c r="K16" s="330"/>
      <c r="L16" s="330"/>
      <c r="M16" s="330"/>
      <c r="N16" s="330"/>
      <c r="O16" s="330"/>
      <c r="P16" s="330"/>
      <c r="Q16" s="330"/>
      <c r="R16" s="330"/>
    </row>
    <row r="17" spans="1:18" x14ac:dyDescent="0.25">
      <c r="A17" s="330"/>
      <c r="B17" s="330"/>
      <c r="C17" s="330"/>
      <c r="D17" s="330"/>
      <c r="E17" s="330"/>
      <c r="F17" s="330"/>
      <c r="G17" s="330"/>
      <c r="H17" s="330"/>
      <c r="I17" s="330"/>
      <c r="J17" s="330"/>
      <c r="K17" s="330"/>
      <c r="L17" s="330"/>
      <c r="M17" s="330"/>
      <c r="N17" s="330"/>
      <c r="O17" s="330"/>
      <c r="P17" s="330"/>
      <c r="Q17" s="330"/>
      <c r="R17" s="330"/>
    </row>
    <row r="18" spans="1:18" x14ac:dyDescent="0.25">
      <c r="A18" s="330"/>
      <c r="B18" s="330"/>
      <c r="C18" s="330"/>
      <c r="D18" s="330"/>
      <c r="E18" s="330"/>
      <c r="F18" s="330"/>
      <c r="G18" s="330"/>
      <c r="H18" s="330"/>
      <c r="I18" s="330"/>
      <c r="J18" s="330"/>
      <c r="K18" s="330"/>
      <c r="L18" s="330"/>
      <c r="M18" s="330"/>
      <c r="N18" s="330"/>
      <c r="O18" s="330"/>
      <c r="P18" s="330"/>
      <c r="Q18" s="330"/>
      <c r="R18" s="330"/>
    </row>
    <row r="19" spans="1:18" x14ac:dyDescent="0.25">
      <c r="A19" s="330"/>
      <c r="B19" s="330"/>
      <c r="C19" s="330"/>
      <c r="D19" s="330"/>
      <c r="E19" s="330"/>
      <c r="F19" s="330"/>
      <c r="G19" s="330"/>
      <c r="H19" s="330"/>
      <c r="I19" s="330"/>
      <c r="J19" s="330"/>
      <c r="K19" s="330"/>
      <c r="L19" s="330"/>
      <c r="M19" s="330"/>
      <c r="N19" s="330"/>
      <c r="O19" s="330"/>
      <c r="P19" s="330"/>
      <c r="Q19" s="330"/>
      <c r="R19" s="330"/>
    </row>
    <row r="20" spans="1:18" x14ac:dyDescent="0.25">
      <c r="A20" s="330"/>
      <c r="B20" s="330"/>
      <c r="C20" s="330"/>
      <c r="D20" s="330"/>
      <c r="E20" s="330"/>
      <c r="F20" s="330"/>
      <c r="G20" s="330"/>
      <c r="H20" s="330"/>
      <c r="I20" s="330"/>
      <c r="J20" s="330"/>
      <c r="K20" s="330"/>
      <c r="L20" s="330"/>
      <c r="M20" s="330"/>
      <c r="N20" s="330"/>
      <c r="O20" s="330"/>
      <c r="P20" s="330"/>
      <c r="Q20" s="330"/>
      <c r="R20" s="330"/>
    </row>
    <row r="21" spans="1:18" x14ac:dyDescent="0.25">
      <c r="A21" s="330"/>
      <c r="B21" s="330"/>
      <c r="C21" s="330"/>
      <c r="D21" s="330"/>
      <c r="E21" s="330"/>
      <c r="F21" s="330"/>
      <c r="G21" s="330"/>
      <c r="H21" s="330"/>
      <c r="I21" s="330"/>
      <c r="J21" s="330"/>
      <c r="K21" s="330"/>
      <c r="L21" s="330"/>
      <c r="M21" s="330"/>
      <c r="N21" s="330"/>
      <c r="O21" s="330"/>
      <c r="P21" s="330"/>
      <c r="Q21" s="330"/>
      <c r="R21" s="330"/>
    </row>
    <row r="22" spans="1:18" x14ac:dyDescent="0.25">
      <c r="A22" s="330"/>
      <c r="B22" s="330"/>
      <c r="C22" s="330"/>
      <c r="D22" s="330"/>
      <c r="E22" s="330"/>
      <c r="F22" s="330"/>
      <c r="G22" s="330"/>
      <c r="H22" s="330"/>
      <c r="I22" s="330"/>
      <c r="J22" s="330"/>
      <c r="K22" s="330"/>
      <c r="L22" s="330"/>
      <c r="M22" s="330"/>
      <c r="N22" s="330"/>
      <c r="O22" s="330"/>
      <c r="P22" s="330"/>
      <c r="Q22" s="330"/>
      <c r="R22" s="330"/>
    </row>
    <row r="23" spans="1:18" x14ac:dyDescent="0.25">
      <c r="A23" s="330"/>
      <c r="B23" s="330"/>
      <c r="C23" s="330"/>
      <c r="D23" s="330"/>
      <c r="E23" s="330"/>
      <c r="F23" s="330"/>
      <c r="G23" s="330"/>
      <c r="H23" s="330"/>
      <c r="I23" s="330"/>
      <c r="J23" s="330"/>
      <c r="K23" s="330"/>
      <c r="L23" s="330"/>
      <c r="M23" s="330"/>
      <c r="N23" s="330"/>
      <c r="O23" s="330"/>
      <c r="P23" s="330"/>
      <c r="Q23" s="330"/>
      <c r="R23" s="330"/>
    </row>
    <row r="24" spans="1:18" x14ac:dyDescent="0.25">
      <c r="A24" s="330"/>
      <c r="B24" s="330"/>
      <c r="C24" s="330"/>
      <c r="D24" s="330"/>
      <c r="E24" s="330"/>
      <c r="F24" s="330"/>
      <c r="G24" s="330"/>
      <c r="H24" s="330"/>
      <c r="I24" s="330"/>
      <c r="J24" s="330"/>
      <c r="K24" s="330"/>
      <c r="L24" s="330"/>
      <c r="M24" s="330"/>
      <c r="N24" s="330"/>
      <c r="O24" s="330"/>
      <c r="P24" s="330"/>
      <c r="Q24" s="330"/>
      <c r="R24" s="330"/>
    </row>
    <row r="25" spans="1:18" x14ac:dyDescent="0.25">
      <c r="A25" s="330"/>
      <c r="B25" s="330"/>
      <c r="C25" s="330"/>
      <c r="D25" s="330"/>
      <c r="E25" s="330"/>
      <c r="F25" s="330"/>
      <c r="G25" s="330"/>
      <c r="H25" s="330"/>
      <c r="I25" s="330"/>
      <c r="J25" s="330"/>
      <c r="K25" s="330"/>
      <c r="L25" s="330"/>
      <c r="M25" s="330"/>
      <c r="N25" s="330"/>
      <c r="O25" s="330"/>
      <c r="P25" s="330"/>
      <c r="Q25" s="330"/>
      <c r="R25" s="330"/>
    </row>
    <row r="26" spans="1:18" x14ac:dyDescent="0.25">
      <c r="A26" s="330"/>
      <c r="B26" s="330"/>
      <c r="C26" s="330"/>
      <c r="D26" s="330"/>
      <c r="E26" s="330"/>
      <c r="F26" s="330"/>
      <c r="G26" s="330"/>
      <c r="H26" s="330"/>
      <c r="I26" s="330"/>
      <c r="J26" s="330"/>
      <c r="K26" s="330"/>
      <c r="L26" s="330"/>
      <c r="M26" s="330"/>
      <c r="N26" s="330"/>
      <c r="O26" s="330"/>
      <c r="P26" s="330"/>
      <c r="Q26" s="330"/>
      <c r="R26" s="330"/>
    </row>
    <row r="27" spans="1:18" x14ac:dyDescent="0.25">
      <c r="A27" s="330"/>
      <c r="B27" s="330"/>
      <c r="C27" s="330"/>
      <c r="D27" s="330"/>
      <c r="E27" s="330"/>
      <c r="F27" s="330"/>
      <c r="G27" s="330"/>
      <c r="H27" s="330"/>
      <c r="I27" s="330"/>
      <c r="J27" s="330"/>
      <c r="K27" s="330"/>
      <c r="L27" s="330"/>
      <c r="M27" s="330"/>
      <c r="N27" s="330"/>
      <c r="O27" s="330"/>
      <c r="P27" s="330"/>
      <c r="Q27" s="330"/>
      <c r="R27" s="330"/>
    </row>
    <row r="28" spans="1:18" x14ac:dyDescent="0.25">
      <c r="A28" s="330"/>
      <c r="B28" s="330"/>
      <c r="C28" s="330"/>
      <c r="D28" s="330"/>
      <c r="E28" s="330"/>
      <c r="F28" s="330"/>
      <c r="G28" s="330"/>
      <c r="H28" s="330"/>
      <c r="I28" s="330"/>
      <c r="J28" s="330"/>
      <c r="K28" s="330"/>
      <c r="L28" s="330"/>
      <c r="M28" s="330"/>
      <c r="N28" s="330"/>
      <c r="O28" s="330"/>
      <c r="P28" s="330"/>
      <c r="Q28" s="330"/>
      <c r="R28" s="330"/>
    </row>
    <row r="29" spans="1:18" x14ac:dyDescent="0.25">
      <c r="A29" s="330"/>
      <c r="B29" s="330"/>
      <c r="C29" s="330"/>
      <c r="D29" s="330"/>
      <c r="E29" s="330"/>
      <c r="F29" s="330"/>
      <c r="G29" s="330"/>
      <c r="H29" s="330"/>
      <c r="I29" s="330"/>
      <c r="J29" s="330"/>
      <c r="K29" s="330"/>
      <c r="L29" s="330"/>
      <c r="M29" s="330"/>
      <c r="N29" s="330"/>
      <c r="O29" s="330"/>
      <c r="P29" s="330"/>
      <c r="Q29" s="330"/>
      <c r="R29" s="330"/>
    </row>
    <row r="30" spans="1:18" x14ac:dyDescent="0.25">
      <c r="A30" s="330"/>
      <c r="B30" s="330"/>
      <c r="C30" s="330"/>
      <c r="D30" s="330"/>
      <c r="E30" s="330"/>
      <c r="F30" s="330"/>
      <c r="G30" s="330"/>
      <c r="H30" s="330"/>
      <c r="I30" s="330"/>
      <c r="J30" s="330"/>
      <c r="K30" s="330"/>
      <c r="L30" s="330"/>
      <c r="M30" s="330"/>
      <c r="N30" s="330"/>
      <c r="O30" s="330"/>
      <c r="P30" s="330"/>
      <c r="Q30" s="330"/>
      <c r="R30" s="330"/>
    </row>
  </sheetData>
  <sheetProtection algorithmName="SHA-512" hashValue="IWmOi4Sv1IQUsVhgIqtjNAJxXyJEqOvofRiXXiMGYcOf3K1uVX30eM1PQwKh20Se+pYDK98knl03ezsz926cLg==" saltValue="uS8a4ej0M8daSlTcie2GUA==" spinCount="100000" sheet="1" objects="1" scenarios="1" formatCells="0" formatColumns="0" formatRows="0" insertColumns="0" insertRows="0" insertHyperlinks="0" deleteColumns="0" deleteRows="0" sort="0" autoFilter="0" pivotTables="0"/>
  <mergeCells count="1">
    <mergeCell ref="A1:C1"/>
  </mergeCells>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3727E-DD46-4AE8-BDB9-147B04FFACE4}">
  <sheetPr codeName="Sheet12">
    <tabColor theme="8" tint="0.79998168889431442"/>
  </sheetPr>
  <dimension ref="A1:AD30"/>
  <sheetViews>
    <sheetView workbookViewId="0">
      <selection activeCell="F6" sqref="F6"/>
    </sheetView>
  </sheetViews>
  <sheetFormatPr defaultRowHeight="15" x14ac:dyDescent="0.25"/>
  <cols>
    <col min="1" max="1" width="12.7109375" style="330" customWidth="1"/>
    <col min="2" max="2" width="15.7109375" style="330" customWidth="1"/>
    <col min="3" max="3" width="20.7109375" style="330" customWidth="1"/>
    <col min="4" max="4" width="15.7109375" style="330" customWidth="1"/>
    <col min="5" max="6" width="18.7109375" style="330" customWidth="1"/>
    <col min="7" max="7" width="14.7109375" style="330" customWidth="1"/>
    <col min="8" max="16384" width="9.140625" style="330"/>
  </cols>
  <sheetData>
    <row r="1" spans="1:30" ht="33" customHeight="1" x14ac:dyDescent="0.5">
      <c r="A1" s="354" t="s">
        <v>415</v>
      </c>
      <c r="B1" s="354"/>
      <c r="C1" s="354"/>
      <c r="AD1" s="335">
        <v>1</v>
      </c>
    </row>
    <row r="2" spans="1:30" ht="9.9499999999999993" customHeight="1" x14ac:dyDescent="0.25">
      <c r="AD2" s="335">
        <v>2</v>
      </c>
    </row>
    <row r="3" spans="1:30" ht="20.100000000000001" customHeight="1" x14ac:dyDescent="0.3">
      <c r="A3" s="333" t="s">
        <v>420</v>
      </c>
      <c r="B3" s="333">
        <v>12</v>
      </c>
      <c r="AD3" s="335">
        <v>3</v>
      </c>
    </row>
    <row r="4" spans="1:30" ht="15.95" customHeight="1" x14ac:dyDescent="0.25">
      <c r="A4" s="330" t="s">
        <v>421</v>
      </c>
      <c r="B4" s="330" t="s">
        <v>422</v>
      </c>
      <c r="C4" s="330" t="s">
        <v>458</v>
      </c>
      <c r="D4" s="330" t="s">
        <v>423</v>
      </c>
      <c r="E4" s="330" t="s">
        <v>426</v>
      </c>
      <c r="F4" s="330" t="s">
        <v>424</v>
      </c>
      <c r="G4" s="330" t="s">
        <v>425</v>
      </c>
      <c r="AD4" s="335">
        <v>4</v>
      </c>
    </row>
    <row r="5" spans="1:30" ht="15.95" customHeight="1" x14ac:dyDescent="0.25">
      <c r="A5" s="330" t="s">
        <v>437</v>
      </c>
      <c r="B5" s="330" t="s">
        <v>89</v>
      </c>
      <c r="C5" s="330" t="s">
        <v>464</v>
      </c>
      <c r="D5" s="332">
        <v>44255</v>
      </c>
      <c r="E5" s="330">
        <v>5</v>
      </c>
      <c r="AD5" s="335">
        <v>5</v>
      </c>
    </row>
    <row r="6" spans="1:30" ht="15.95" customHeight="1" x14ac:dyDescent="0.25">
      <c r="A6" s="330" t="s">
        <v>438</v>
      </c>
      <c r="B6" s="330" t="s">
        <v>90</v>
      </c>
      <c r="C6" s="330" t="s">
        <v>464</v>
      </c>
      <c r="D6" s="332">
        <v>44253</v>
      </c>
      <c r="E6" s="330">
        <v>4</v>
      </c>
      <c r="AD6" s="335">
        <v>6</v>
      </c>
    </row>
    <row r="7" spans="1:30" ht="15.95" customHeight="1" x14ac:dyDescent="0.25">
      <c r="A7" s="330" t="s">
        <v>439</v>
      </c>
      <c r="B7" s="330" t="s">
        <v>91</v>
      </c>
      <c r="C7" s="330" t="s">
        <v>461</v>
      </c>
      <c r="D7" s="332">
        <v>44249</v>
      </c>
      <c r="E7" s="330">
        <v>5</v>
      </c>
      <c r="AD7" s="335">
        <v>7</v>
      </c>
    </row>
    <row r="8" spans="1:30" ht="15.95" customHeight="1" x14ac:dyDescent="0.25">
      <c r="A8" s="330" t="s">
        <v>440</v>
      </c>
      <c r="B8" s="330" t="s">
        <v>92</v>
      </c>
      <c r="C8" s="330" t="s">
        <v>465</v>
      </c>
      <c r="D8" s="332">
        <v>44242</v>
      </c>
      <c r="E8" s="330">
        <v>8</v>
      </c>
      <c r="AD8" s="335">
        <v>8</v>
      </c>
    </row>
    <row r="9" spans="1:30" ht="15.95" customHeight="1" x14ac:dyDescent="0.25">
      <c r="A9" s="330" t="s">
        <v>441</v>
      </c>
      <c r="B9" s="330" t="s">
        <v>93</v>
      </c>
      <c r="C9" s="330" t="s">
        <v>466</v>
      </c>
      <c r="D9" s="332">
        <v>44240</v>
      </c>
      <c r="E9" s="330">
        <v>7</v>
      </c>
      <c r="AD9" s="335">
        <v>9</v>
      </c>
    </row>
    <row r="10" spans="1:30" ht="15.95" customHeight="1" x14ac:dyDescent="0.25">
      <c r="A10" s="330" t="s">
        <v>442</v>
      </c>
      <c r="B10" s="330" t="s">
        <v>94</v>
      </c>
      <c r="C10" s="330" t="s">
        <v>461</v>
      </c>
      <c r="D10" s="332">
        <v>44255</v>
      </c>
      <c r="E10" s="330">
        <v>4</v>
      </c>
      <c r="AD10" s="335">
        <v>10</v>
      </c>
    </row>
    <row r="11" spans="1:30" ht="15.95" customHeight="1" x14ac:dyDescent="0.25">
      <c r="A11" s="330" t="s">
        <v>443</v>
      </c>
      <c r="B11" s="330" t="s">
        <v>95</v>
      </c>
      <c r="C11" s="330" t="s">
        <v>460</v>
      </c>
      <c r="D11" s="332">
        <v>44240</v>
      </c>
      <c r="E11" s="330">
        <v>5</v>
      </c>
      <c r="AD11" s="335">
        <v>11</v>
      </c>
    </row>
    <row r="12" spans="1:30" x14ac:dyDescent="0.25">
      <c r="A12" s="330" t="s">
        <v>444</v>
      </c>
      <c r="B12" s="330" t="s">
        <v>96</v>
      </c>
      <c r="C12" s="330" t="s">
        <v>463</v>
      </c>
      <c r="D12" s="332">
        <v>44231</v>
      </c>
      <c r="E12" s="330">
        <v>2</v>
      </c>
      <c r="AD12" s="335">
        <v>12</v>
      </c>
    </row>
    <row r="13" spans="1:30" x14ac:dyDescent="0.25">
      <c r="A13" s="330" t="s">
        <v>445</v>
      </c>
      <c r="B13" s="330" t="s">
        <v>97</v>
      </c>
      <c r="C13" s="330" t="s">
        <v>464</v>
      </c>
      <c r="D13" s="332">
        <v>44234</v>
      </c>
      <c r="E13" s="330">
        <v>6</v>
      </c>
      <c r="AD13" s="335">
        <v>13</v>
      </c>
    </row>
    <row r="14" spans="1:30" x14ac:dyDescent="0.25">
      <c r="A14" s="330" t="s">
        <v>446</v>
      </c>
      <c r="B14" s="330" t="s">
        <v>98</v>
      </c>
      <c r="C14" s="330" t="s">
        <v>464</v>
      </c>
      <c r="D14" s="332">
        <v>44239</v>
      </c>
      <c r="E14" s="330">
        <v>4</v>
      </c>
      <c r="AD14" s="335">
        <v>14</v>
      </c>
    </row>
    <row r="15" spans="1:30" x14ac:dyDescent="0.25">
      <c r="A15" s="330" t="s">
        <v>447</v>
      </c>
      <c r="B15" s="330" t="s">
        <v>99</v>
      </c>
      <c r="C15" s="330" t="s">
        <v>465</v>
      </c>
      <c r="D15" s="332">
        <v>44233</v>
      </c>
      <c r="E15" s="330">
        <v>5</v>
      </c>
      <c r="AD15" s="335">
        <v>15</v>
      </c>
    </row>
    <row r="16" spans="1:30" x14ac:dyDescent="0.25">
      <c r="A16" s="330" t="s">
        <v>448</v>
      </c>
      <c r="B16" s="330" t="s">
        <v>100</v>
      </c>
      <c r="C16" s="330" t="s">
        <v>467</v>
      </c>
      <c r="D16" s="332">
        <v>44247</v>
      </c>
      <c r="E16" s="330">
        <v>1</v>
      </c>
      <c r="AD16" s="335">
        <v>16</v>
      </c>
    </row>
    <row r="17" spans="30:30" x14ac:dyDescent="0.25">
      <c r="AD17" s="335">
        <v>17</v>
      </c>
    </row>
    <row r="18" spans="30:30" x14ac:dyDescent="0.25">
      <c r="AD18" s="335">
        <v>18</v>
      </c>
    </row>
    <row r="19" spans="30:30" x14ac:dyDescent="0.25">
      <c r="AD19" s="335">
        <v>19</v>
      </c>
    </row>
    <row r="20" spans="30:30" x14ac:dyDescent="0.25">
      <c r="AD20" s="335">
        <v>20</v>
      </c>
    </row>
    <row r="21" spans="30:30" x14ac:dyDescent="0.25">
      <c r="AD21" s="335">
        <v>21</v>
      </c>
    </row>
    <row r="22" spans="30:30" x14ac:dyDescent="0.25">
      <c r="AD22" s="335">
        <v>22</v>
      </c>
    </row>
    <row r="23" spans="30:30" x14ac:dyDescent="0.25">
      <c r="AD23" s="335">
        <v>23</v>
      </c>
    </row>
    <row r="24" spans="30:30" x14ac:dyDescent="0.25">
      <c r="AD24" s="335">
        <v>24</v>
      </c>
    </row>
    <row r="25" spans="30:30" x14ac:dyDescent="0.25">
      <c r="AD25" s="335">
        <v>25</v>
      </c>
    </row>
    <row r="26" spans="30:30" x14ac:dyDescent="0.25">
      <c r="AD26" s="335">
        <v>26</v>
      </c>
    </row>
    <row r="27" spans="30:30" x14ac:dyDescent="0.25">
      <c r="AD27" s="335">
        <v>27</v>
      </c>
    </row>
    <row r="28" spans="30:30" x14ac:dyDescent="0.25">
      <c r="AD28" s="335">
        <v>28</v>
      </c>
    </row>
    <row r="29" spans="30:30" x14ac:dyDescent="0.25">
      <c r="AD29" s="335">
        <v>29</v>
      </c>
    </row>
    <row r="30" spans="30:30" x14ac:dyDescent="0.25">
      <c r="AD30" s="335">
        <v>30</v>
      </c>
    </row>
  </sheetData>
  <sheetProtection algorithmName="SHA-512" hashValue="S5Zb3F/Gzc9Er2eWK8GGautL7DZseieCllfzqLfhlTYtujppLLC4j1tB0TLYNguBrwH4qgtN48dSriCY94LNoA==" saltValue="HTEI0qvkuj1P4pWSbTWc2A==" spinCount="100000" sheet="1" objects="1" scenarios="1" formatCells="0" formatColumns="0" formatRows="0" insertColumns="0" insertRows="0" insertHyperlinks="0" deleteColumns="0" deleteRows="0" sort="0" autoFilter="0" pivotTables="0"/>
  <mergeCells count="1">
    <mergeCell ref="A1:C1"/>
  </mergeCells>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54A9A-4CEE-4CB2-8F11-C19474B3F1CE}">
  <sheetPr codeName="Sheet13">
    <tabColor theme="8" tint="0.79998168889431442"/>
  </sheetPr>
  <dimension ref="A1:R30"/>
  <sheetViews>
    <sheetView workbookViewId="0">
      <selection activeCell="E16" sqref="E16"/>
    </sheetView>
  </sheetViews>
  <sheetFormatPr defaultRowHeight="15" x14ac:dyDescent="0.25"/>
  <cols>
    <col min="1" max="1" width="12.7109375" customWidth="1"/>
    <col min="2" max="2" width="15.7109375" customWidth="1"/>
    <col min="3" max="3" width="20.7109375" customWidth="1"/>
    <col min="4" max="4" width="15.7109375" customWidth="1"/>
    <col min="5" max="6" width="18.7109375" customWidth="1"/>
    <col min="7" max="7" width="14.7109375" customWidth="1"/>
  </cols>
  <sheetData>
    <row r="1" spans="1:18" ht="33" customHeight="1" x14ac:dyDescent="0.5">
      <c r="A1" s="354" t="s">
        <v>415</v>
      </c>
      <c r="B1" s="354"/>
      <c r="C1" s="354"/>
      <c r="D1" s="330"/>
      <c r="E1" s="330"/>
      <c r="F1" s="330"/>
      <c r="G1" s="330"/>
      <c r="H1" s="330"/>
      <c r="I1" s="330"/>
      <c r="J1" s="330"/>
      <c r="K1" s="330"/>
      <c r="L1" s="330"/>
      <c r="M1" s="330"/>
      <c r="N1" s="330"/>
      <c r="O1" s="330"/>
      <c r="P1" s="330"/>
      <c r="Q1" s="330"/>
      <c r="R1" s="330"/>
    </row>
    <row r="2" spans="1:18" ht="9.9499999999999993" customHeight="1" x14ac:dyDescent="0.25">
      <c r="A2" s="330"/>
      <c r="B2" s="330"/>
      <c r="C2" s="330"/>
      <c r="D2" s="330"/>
      <c r="E2" s="330"/>
      <c r="F2" s="330"/>
      <c r="G2" s="330"/>
      <c r="H2" s="330"/>
      <c r="I2" s="330"/>
      <c r="J2" s="330"/>
      <c r="K2" s="330"/>
      <c r="L2" s="330"/>
      <c r="M2" s="330"/>
      <c r="N2" s="330"/>
      <c r="O2" s="330"/>
      <c r="P2" s="330"/>
      <c r="Q2" s="330"/>
      <c r="R2" s="330"/>
    </row>
    <row r="3" spans="1:18" ht="20.100000000000001" customHeight="1" x14ac:dyDescent="0.3">
      <c r="A3" s="333" t="s">
        <v>419</v>
      </c>
      <c r="B3" s="333">
        <v>9</v>
      </c>
      <c r="C3" s="330"/>
      <c r="D3" s="330"/>
      <c r="E3" s="330"/>
      <c r="F3" s="330"/>
      <c r="G3" s="330"/>
      <c r="H3" s="330"/>
      <c r="I3" s="330"/>
      <c r="J3" s="330"/>
      <c r="K3" s="330"/>
      <c r="L3" s="330"/>
      <c r="M3" s="330"/>
      <c r="N3" s="330"/>
      <c r="O3" s="330"/>
      <c r="P3" s="330"/>
      <c r="Q3" s="330"/>
      <c r="R3" s="330"/>
    </row>
    <row r="4" spans="1:18" ht="15.95" customHeight="1" x14ac:dyDescent="0.25">
      <c r="A4" s="330" t="s">
        <v>421</v>
      </c>
      <c r="B4" s="330" t="s">
        <v>422</v>
      </c>
      <c r="C4" s="330" t="s">
        <v>458</v>
      </c>
      <c r="D4" s="330" t="s">
        <v>423</v>
      </c>
      <c r="E4" s="330" t="s">
        <v>426</v>
      </c>
      <c r="F4" s="330" t="s">
        <v>424</v>
      </c>
      <c r="G4" s="330" t="s">
        <v>425</v>
      </c>
      <c r="H4" s="330"/>
      <c r="I4" s="330"/>
      <c r="J4" s="330"/>
      <c r="K4" s="330"/>
      <c r="L4" s="330"/>
      <c r="M4" s="330"/>
      <c r="N4" s="330"/>
      <c r="O4" s="330"/>
      <c r="P4" s="330"/>
      <c r="Q4" s="330"/>
      <c r="R4" s="330"/>
    </row>
    <row r="5" spans="1:18" ht="15.95" customHeight="1" x14ac:dyDescent="0.25">
      <c r="A5" s="330" t="s">
        <v>449</v>
      </c>
      <c r="B5" s="330">
        <v>4224</v>
      </c>
      <c r="C5" s="330" t="s">
        <v>459</v>
      </c>
      <c r="D5" s="332">
        <v>44255</v>
      </c>
      <c r="E5" s="330">
        <v>8</v>
      </c>
      <c r="F5" s="330" t="s">
        <v>77</v>
      </c>
      <c r="G5" s="330" t="s">
        <v>78</v>
      </c>
      <c r="H5" s="330"/>
      <c r="I5" s="330"/>
      <c r="J5" s="330"/>
      <c r="K5" s="330"/>
      <c r="L5" s="330"/>
      <c r="M5" s="330"/>
      <c r="N5" s="330"/>
      <c r="O5" s="330"/>
      <c r="P5" s="330"/>
      <c r="Q5" s="330"/>
      <c r="R5" s="330"/>
    </row>
    <row r="6" spans="1:18" ht="15.95" customHeight="1" x14ac:dyDescent="0.25">
      <c r="A6" s="330" t="s">
        <v>450</v>
      </c>
      <c r="B6" s="330">
        <v>5417</v>
      </c>
      <c r="C6" s="330" t="s">
        <v>460</v>
      </c>
      <c r="D6" s="332">
        <v>44281</v>
      </c>
      <c r="E6" s="330">
        <v>5</v>
      </c>
      <c r="F6" s="330" t="s">
        <v>80</v>
      </c>
      <c r="G6" s="330" t="s">
        <v>78</v>
      </c>
      <c r="H6" s="330"/>
      <c r="I6" s="330"/>
      <c r="J6" s="330"/>
      <c r="K6" s="330"/>
      <c r="L6" s="330"/>
      <c r="M6" s="330"/>
      <c r="N6" s="330"/>
      <c r="O6" s="330"/>
      <c r="P6" s="330"/>
      <c r="Q6" s="330"/>
      <c r="R6" s="330"/>
    </row>
    <row r="7" spans="1:18" ht="15.95" customHeight="1" x14ac:dyDescent="0.25">
      <c r="A7" s="330" t="s">
        <v>451</v>
      </c>
      <c r="B7" s="330">
        <v>1243</v>
      </c>
      <c r="C7" s="330" t="s">
        <v>460</v>
      </c>
      <c r="D7" s="332">
        <v>44218</v>
      </c>
      <c r="E7" s="330">
        <v>5</v>
      </c>
      <c r="F7" s="330" t="s">
        <v>80</v>
      </c>
      <c r="G7" s="330" t="s">
        <v>78</v>
      </c>
      <c r="H7" s="330"/>
      <c r="I7" s="330"/>
      <c r="J7" s="330"/>
      <c r="K7" s="330"/>
      <c r="L7" s="330"/>
      <c r="M7" s="330"/>
      <c r="N7" s="330"/>
      <c r="O7" s="330"/>
      <c r="P7" s="330"/>
      <c r="Q7" s="330"/>
      <c r="R7" s="330"/>
    </row>
    <row r="8" spans="1:18" ht="15.95" customHeight="1" x14ac:dyDescent="0.25">
      <c r="A8" s="330" t="s">
        <v>452</v>
      </c>
      <c r="B8" s="330">
        <v>5417</v>
      </c>
      <c r="C8" s="330" t="s">
        <v>461</v>
      </c>
      <c r="D8" s="332">
        <v>44211</v>
      </c>
      <c r="E8" s="330">
        <v>7</v>
      </c>
      <c r="F8" s="330" t="s">
        <v>82</v>
      </c>
      <c r="G8" s="330" t="s">
        <v>78</v>
      </c>
      <c r="H8" s="330"/>
      <c r="I8" s="330"/>
      <c r="J8" s="330"/>
      <c r="K8" s="330"/>
      <c r="L8" s="330"/>
      <c r="M8" s="330"/>
      <c r="N8" s="330"/>
      <c r="O8" s="330"/>
      <c r="P8" s="330"/>
      <c r="Q8" s="330"/>
      <c r="R8" s="330"/>
    </row>
    <row r="9" spans="1:18" ht="15.95" customHeight="1" x14ac:dyDescent="0.25">
      <c r="A9" s="330" t="s">
        <v>453</v>
      </c>
      <c r="B9" s="330">
        <v>1243</v>
      </c>
      <c r="C9" s="330" t="s">
        <v>461</v>
      </c>
      <c r="D9" s="332">
        <v>44209</v>
      </c>
      <c r="E9" s="330">
        <v>5</v>
      </c>
      <c r="F9" s="330" t="s">
        <v>80</v>
      </c>
      <c r="G9" s="330" t="s">
        <v>78</v>
      </c>
      <c r="H9" s="330"/>
      <c r="I9" s="330"/>
      <c r="J9" s="330"/>
      <c r="K9" s="330"/>
      <c r="L9" s="330"/>
      <c r="M9" s="330"/>
      <c r="N9" s="330"/>
      <c r="O9" s="330"/>
      <c r="P9" s="330"/>
      <c r="Q9" s="330"/>
      <c r="R9" s="330"/>
    </row>
    <row r="10" spans="1:18" ht="15.95" customHeight="1" x14ac:dyDescent="0.25">
      <c r="A10" s="330" t="s">
        <v>454</v>
      </c>
      <c r="B10" s="330">
        <v>5634</v>
      </c>
      <c r="C10" s="330" t="s">
        <v>462</v>
      </c>
      <c r="D10" s="332">
        <v>44284</v>
      </c>
      <c r="E10" s="330">
        <v>1</v>
      </c>
      <c r="F10" s="330" t="s">
        <v>80</v>
      </c>
      <c r="G10" s="330" t="s">
        <v>87</v>
      </c>
      <c r="H10" s="330"/>
      <c r="I10" s="330"/>
      <c r="J10" s="330"/>
      <c r="K10" s="330"/>
      <c r="L10" s="330"/>
      <c r="M10" s="330"/>
      <c r="N10" s="330"/>
      <c r="O10" s="330"/>
      <c r="P10" s="330"/>
      <c r="Q10" s="330"/>
      <c r="R10" s="330"/>
    </row>
    <row r="11" spans="1:18" ht="15.95" customHeight="1" x14ac:dyDescent="0.25">
      <c r="A11" s="330" t="s">
        <v>455</v>
      </c>
      <c r="B11" s="330">
        <v>5634</v>
      </c>
      <c r="C11" s="330" t="s">
        <v>463</v>
      </c>
      <c r="D11" s="332">
        <v>44227</v>
      </c>
      <c r="E11" s="330">
        <v>3</v>
      </c>
      <c r="F11" s="330" t="s">
        <v>77</v>
      </c>
      <c r="G11" s="330" t="s">
        <v>78</v>
      </c>
      <c r="H11" s="330"/>
      <c r="I11" s="330"/>
      <c r="J11" s="330"/>
      <c r="K11" s="330"/>
      <c r="L11" s="330"/>
      <c r="M11" s="330"/>
      <c r="N11" s="330"/>
      <c r="O11" s="330"/>
      <c r="P11" s="330"/>
      <c r="Q11" s="330"/>
      <c r="R11" s="330"/>
    </row>
    <row r="12" spans="1:18" x14ac:dyDescent="0.25">
      <c r="A12" s="330" t="s">
        <v>456</v>
      </c>
      <c r="B12" s="330">
        <v>9399</v>
      </c>
      <c r="C12" s="330" t="s">
        <v>464</v>
      </c>
      <c r="D12" s="332">
        <v>44252</v>
      </c>
      <c r="E12" s="330">
        <v>3</v>
      </c>
      <c r="F12" s="330" t="s">
        <v>77</v>
      </c>
      <c r="G12" s="330" t="s">
        <v>87</v>
      </c>
      <c r="H12" s="330"/>
      <c r="I12" s="330"/>
      <c r="J12" s="330"/>
      <c r="K12" s="330"/>
      <c r="L12" s="330"/>
      <c r="M12" s="330"/>
      <c r="N12" s="330"/>
      <c r="O12" s="330"/>
      <c r="P12" s="330"/>
      <c r="Q12" s="330"/>
      <c r="R12" s="330"/>
    </row>
    <row r="13" spans="1:18" x14ac:dyDescent="0.25">
      <c r="A13" s="330" t="s">
        <v>457</v>
      </c>
      <c r="B13" s="330">
        <v>9399</v>
      </c>
      <c r="C13" s="330" t="s">
        <v>461</v>
      </c>
      <c r="D13" s="332">
        <v>44247</v>
      </c>
      <c r="E13" s="330">
        <v>1</v>
      </c>
      <c r="F13" s="330" t="s">
        <v>82</v>
      </c>
      <c r="G13" s="330" t="s">
        <v>87</v>
      </c>
      <c r="H13" s="330"/>
      <c r="I13" s="330"/>
      <c r="J13" s="330"/>
      <c r="K13" s="330"/>
      <c r="L13" s="330"/>
      <c r="M13" s="330"/>
      <c r="N13" s="330"/>
      <c r="O13" s="330"/>
      <c r="P13" s="330"/>
      <c r="Q13" s="330"/>
      <c r="R13" s="330"/>
    </row>
    <row r="14" spans="1:18" x14ac:dyDescent="0.25">
      <c r="A14" s="330"/>
      <c r="B14" s="330"/>
      <c r="C14" s="330"/>
      <c r="D14" s="330"/>
      <c r="E14" s="330"/>
      <c r="F14" s="330"/>
      <c r="G14" s="330"/>
      <c r="H14" s="330"/>
      <c r="I14" s="330"/>
      <c r="J14" s="330"/>
      <c r="K14" s="330"/>
      <c r="L14" s="330"/>
      <c r="M14" s="330"/>
      <c r="N14" s="330"/>
      <c r="O14" s="330"/>
      <c r="P14" s="330"/>
      <c r="Q14" s="330"/>
      <c r="R14" s="330"/>
    </row>
    <row r="15" spans="1:18" x14ac:dyDescent="0.25">
      <c r="A15" s="330"/>
      <c r="B15" s="330"/>
      <c r="C15" s="330"/>
      <c r="D15" s="330"/>
      <c r="E15" s="330"/>
      <c r="F15" s="330"/>
      <c r="G15" s="330"/>
      <c r="H15" s="330"/>
      <c r="I15" s="330"/>
      <c r="J15" s="330"/>
      <c r="K15" s="330"/>
      <c r="L15" s="330"/>
      <c r="M15" s="330"/>
      <c r="N15" s="330"/>
      <c r="O15" s="330"/>
      <c r="P15" s="330"/>
      <c r="Q15" s="330"/>
      <c r="R15" s="330"/>
    </row>
    <row r="16" spans="1:18" x14ac:dyDescent="0.25">
      <c r="A16" s="330"/>
      <c r="B16" s="330"/>
      <c r="C16" s="330"/>
      <c r="D16" s="330"/>
      <c r="E16" s="330"/>
      <c r="F16" s="330"/>
      <c r="G16" s="330"/>
      <c r="H16" s="330"/>
      <c r="I16" s="330"/>
      <c r="J16" s="330"/>
      <c r="K16" s="330"/>
      <c r="L16" s="330"/>
      <c r="M16" s="330"/>
      <c r="N16" s="330"/>
      <c r="O16" s="330"/>
      <c r="P16" s="330"/>
      <c r="Q16" s="330"/>
      <c r="R16" s="330"/>
    </row>
    <row r="17" spans="1:18" x14ac:dyDescent="0.25">
      <c r="A17" s="330"/>
      <c r="B17" s="330"/>
      <c r="C17" s="330"/>
      <c r="D17" s="330"/>
      <c r="E17" s="330"/>
      <c r="F17" s="330"/>
      <c r="G17" s="330"/>
      <c r="H17" s="330"/>
      <c r="I17" s="330"/>
      <c r="J17" s="330"/>
      <c r="K17" s="330"/>
      <c r="L17" s="330"/>
      <c r="M17" s="330"/>
      <c r="N17" s="330"/>
      <c r="O17" s="330"/>
      <c r="P17" s="330"/>
      <c r="Q17" s="330"/>
      <c r="R17" s="330"/>
    </row>
    <row r="18" spans="1:18" x14ac:dyDescent="0.25">
      <c r="A18" s="330"/>
      <c r="B18" s="330"/>
      <c r="C18" s="330"/>
      <c r="D18" s="330"/>
      <c r="E18" s="330"/>
      <c r="F18" s="330"/>
      <c r="G18" s="330"/>
      <c r="H18" s="330"/>
      <c r="I18" s="330"/>
      <c r="J18" s="330"/>
      <c r="K18" s="330"/>
      <c r="L18" s="330"/>
      <c r="M18" s="330"/>
      <c r="N18" s="330"/>
      <c r="O18" s="330"/>
      <c r="P18" s="330"/>
      <c r="Q18" s="330"/>
      <c r="R18" s="330"/>
    </row>
    <row r="19" spans="1:18" x14ac:dyDescent="0.25">
      <c r="A19" s="330"/>
      <c r="B19" s="330"/>
      <c r="C19" s="330"/>
      <c r="D19" s="330"/>
      <c r="E19" s="330"/>
      <c r="F19" s="330"/>
      <c r="G19" s="330"/>
      <c r="H19" s="330"/>
      <c r="I19" s="330"/>
      <c r="J19" s="330"/>
      <c r="K19" s="330"/>
      <c r="L19" s="330"/>
      <c r="M19" s="330"/>
      <c r="N19" s="330"/>
      <c r="O19" s="330"/>
      <c r="P19" s="330"/>
      <c r="Q19" s="330"/>
      <c r="R19" s="330"/>
    </row>
    <row r="20" spans="1:18" x14ac:dyDescent="0.25">
      <c r="A20" s="330"/>
      <c r="B20" s="330"/>
      <c r="C20" s="330"/>
      <c r="D20" s="330"/>
      <c r="E20" s="330"/>
      <c r="F20" s="330"/>
      <c r="G20" s="330"/>
      <c r="H20" s="330"/>
      <c r="I20" s="330"/>
      <c r="J20" s="330"/>
      <c r="K20" s="330"/>
      <c r="L20" s="330"/>
      <c r="M20" s="330"/>
      <c r="N20" s="330"/>
      <c r="O20" s="330"/>
      <c r="P20" s="330"/>
      <c r="Q20" s="330"/>
      <c r="R20" s="330"/>
    </row>
    <row r="21" spans="1:18" x14ac:dyDescent="0.25">
      <c r="A21" s="330"/>
      <c r="B21" s="330"/>
      <c r="C21" s="330"/>
      <c r="D21" s="330"/>
      <c r="E21" s="330"/>
      <c r="F21" s="330"/>
      <c r="G21" s="330"/>
      <c r="H21" s="330"/>
      <c r="I21" s="330"/>
      <c r="J21" s="330"/>
      <c r="K21" s="330"/>
      <c r="L21" s="330"/>
      <c r="M21" s="330"/>
      <c r="N21" s="330"/>
      <c r="O21" s="330"/>
      <c r="P21" s="330"/>
      <c r="Q21" s="330"/>
      <c r="R21" s="330"/>
    </row>
    <row r="22" spans="1:18" x14ac:dyDescent="0.25">
      <c r="A22" s="330"/>
      <c r="B22" s="330"/>
      <c r="C22" s="330"/>
      <c r="D22" s="330"/>
      <c r="E22" s="330"/>
      <c r="F22" s="330"/>
      <c r="G22" s="330"/>
      <c r="H22" s="330"/>
      <c r="I22" s="330"/>
      <c r="J22" s="330"/>
      <c r="K22" s="330"/>
      <c r="L22" s="330"/>
      <c r="M22" s="330"/>
      <c r="N22" s="330"/>
      <c r="O22" s="330"/>
      <c r="P22" s="330"/>
      <c r="Q22" s="330"/>
      <c r="R22" s="330"/>
    </row>
    <row r="23" spans="1:18" x14ac:dyDescent="0.25">
      <c r="A23" s="330"/>
      <c r="B23" s="330"/>
      <c r="C23" s="330"/>
      <c r="D23" s="330"/>
      <c r="E23" s="330"/>
      <c r="F23" s="330"/>
      <c r="G23" s="330"/>
      <c r="H23" s="330"/>
      <c r="I23" s="330"/>
      <c r="J23" s="330"/>
      <c r="K23" s="330"/>
      <c r="L23" s="330"/>
      <c r="M23" s="330"/>
      <c r="N23" s="330"/>
      <c r="O23" s="330"/>
      <c r="P23" s="330"/>
      <c r="Q23" s="330"/>
      <c r="R23" s="330"/>
    </row>
    <row r="24" spans="1:18" x14ac:dyDescent="0.25">
      <c r="A24" s="330"/>
      <c r="B24" s="330"/>
      <c r="C24" s="330"/>
      <c r="D24" s="330"/>
      <c r="E24" s="330"/>
      <c r="F24" s="330"/>
      <c r="G24" s="330"/>
      <c r="H24" s="330"/>
      <c r="I24" s="330"/>
      <c r="J24" s="330"/>
      <c r="K24" s="330"/>
      <c r="L24" s="330"/>
      <c r="M24" s="330"/>
      <c r="N24" s="330"/>
      <c r="O24" s="330"/>
      <c r="P24" s="330"/>
      <c r="Q24" s="330"/>
      <c r="R24" s="330"/>
    </row>
    <row r="25" spans="1:18" x14ac:dyDescent="0.25">
      <c r="A25" s="330"/>
      <c r="B25" s="330"/>
      <c r="C25" s="330"/>
      <c r="D25" s="330"/>
      <c r="E25" s="330"/>
      <c r="F25" s="330"/>
      <c r="G25" s="330"/>
      <c r="H25" s="330"/>
      <c r="I25" s="330"/>
      <c r="J25" s="330"/>
      <c r="K25" s="330"/>
      <c r="L25" s="330"/>
      <c r="M25" s="330"/>
      <c r="N25" s="330"/>
      <c r="O25" s="330"/>
      <c r="P25" s="330"/>
      <c r="Q25" s="330"/>
      <c r="R25" s="330"/>
    </row>
    <row r="26" spans="1:18" x14ac:dyDescent="0.25">
      <c r="A26" s="330"/>
      <c r="B26" s="330"/>
      <c r="C26" s="330"/>
      <c r="D26" s="330"/>
      <c r="E26" s="330"/>
      <c r="F26" s="330"/>
      <c r="G26" s="330"/>
      <c r="H26" s="330"/>
      <c r="I26" s="330"/>
      <c r="J26" s="330"/>
      <c r="K26" s="330"/>
      <c r="L26" s="330"/>
      <c r="M26" s="330"/>
      <c r="N26" s="330"/>
      <c r="O26" s="330"/>
      <c r="P26" s="330"/>
      <c r="Q26" s="330"/>
      <c r="R26" s="330"/>
    </row>
    <row r="27" spans="1:18" x14ac:dyDescent="0.25">
      <c r="A27" s="330"/>
      <c r="B27" s="330"/>
      <c r="C27" s="330"/>
      <c r="D27" s="330"/>
      <c r="E27" s="330"/>
      <c r="F27" s="330"/>
      <c r="G27" s="330"/>
      <c r="H27" s="330"/>
      <c r="I27" s="330"/>
      <c r="J27" s="330"/>
      <c r="K27" s="330"/>
      <c r="L27" s="330"/>
      <c r="M27" s="330"/>
      <c r="N27" s="330"/>
      <c r="O27" s="330"/>
      <c r="P27" s="330"/>
      <c r="Q27" s="330"/>
      <c r="R27" s="330"/>
    </row>
    <row r="28" spans="1:18" x14ac:dyDescent="0.25">
      <c r="A28" s="330"/>
      <c r="B28" s="330"/>
      <c r="C28" s="330"/>
      <c r="D28" s="330"/>
      <c r="E28" s="330"/>
      <c r="F28" s="330"/>
      <c r="G28" s="330"/>
      <c r="H28" s="330"/>
      <c r="I28" s="330"/>
      <c r="J28" s="330"/>
      <c r="K28" s="330"/>
      <c r="L28" s="330"/>
      <c r="M28" s="330"/>
      <c r="N28" s="330"/>
      <c r="O28" s="330"/>
      <c r="P28" s="330"/>
      <c r="Q28" s="330"/>
      <c r="R28" s="330"/>
    </row>
    <row r="29" spans="1:18" x14ac:dyDescent="0.25">
      <c r="A29" s="330"/>
      <c r="B29" s="330"/>
      <c r="C29" s="330"/>
      <c r="D29" s="330"/>
      <c r="E29" s="330"/>
      <c r="F29" s="330"/>
      <c r="G29" s="330"/>
      <c r="H29" s="330"/>
      <c r="I29" s="330"/>
      <c r="J29" s="330"/>
      <c r="K29" s="330"/>
      <c r="L29" s="330"/>
      <c r="M29" s="330"/>
      <c r="N29" s="330"/>
      <c r="O29" s="330"/>
      <c r="P29" s="330"/>
      <c r="Q29" s="330"/>
      <c r="R29" s="330"/>
    </row>
    <row r="30" spans="1:18" x14ac:dyDescent="0.25">
      <c r="A30" s="330"/>
      <c r="B30" s="330"/>
      <c r="C30" s="330"/>
      <c r="D30" s="330"/>
      <c r="E30" s="330"/>
      <c r="F30" s="330"/>
      <c r="G30" s="330"/>
      <c r="H30" s="330"/>
      <c r="I30" s="330"/>
      <c r="J30" s="330"/>
      <c r="K30" s="330"/>
      <c r="L30" s="330"/>
      <c r="M30" s="330"/>
      <c r="N30" s="330"/>
      <c r="O30" s="330"/>
      <c r="P30" s="330"/>
      <c r="Q30" s="330"/>
      <c r="R30" s="330"/>
    </row>
  </sheetData>
  <sheetProtection algorithmName="SHA-512" hashValue="i+yyEjS59oTxfLfqPuzc4W1w0jD0wlhLoLZjfPS6fRvRzXsOWE51SeFrSfR157d/1/u7DoZbBbPvfmoZa8l1Uw==" saltValue="Ng9PM5eShUqlAvepmz0YfA==" spinCount="100000" sheet="1" objects="1" scenarios="1" formatCells="0" formatColumns="0" formatRows="0" insertColumns="0" insertRows="0" insertHyperlinks="0" deleteColumns="0" deleteRows="0" sort="0" autoFilter="0" pivotTables="0"/>
  <dataConsolidate/>
  <mergeCells count="1">
    <mergeCell ref="A1:C1"/>
  </mergeCells>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E522C-9FB6-4B92-956C-289FE877C41B}">
  <sheetPr codeName="Sheet14">
    <tabColor theme="8" tint="0.79998168889431442"/>
  </sheetPr>
  <dimension ref="A1:R30"/>
  <sheetViews>
    <sheetView workbookViewId="0">
      <selection sqref="A1:C1"/>
    </sheetView>
  </sheetViews>
  <sheetFormatPr defaultRowHeight="15" x14ac:dyDescent="0.25"/>
  <cols>
    <col min="1" max="1" width="10.7109375" customWidth="1"/>
    <col min="2" max="2" width="15.7109375" customWidth="1"/>
    <col min="3" max="3" width="25.7109375" customWidth="1"/>
  </cols>
  <sheetData>
    <row r="1" spans="1:18" ht="33" customHeight="1" x14ac:dyDescent="0.5">
      <c r="A1" s="354" t="s">
        <v>415</v>
      </c>
      <c r="B1" s="354"/>
      <c r="C1" s="354"/>
      <c r="D1" s="330"/>
      <c r="E1" s="330"/>
      <c r="F1" s="330"/>
      <c r="G1" s="330"/>
      <c r="H1" s="330"/>
      <c r="I1" s="330"/>
      <c r="J1" s="330"/>
      <c r="K1" s="330"/>
      <c r="L1" s="330"/>
      <c r="M1" s="330"/>
      <c r="N1" s="330"/>
      <c r="O1" s="330"/>
      <c r="P1" s="330"/>
      <c r="Q1" s="330"/>
      <c r="R1" s="330"/>
    </row>
    <row r="2" spans="1:18" ht="9.9499999999999993" customHeight="1" x14ac:dyDescent="0.25">
      <c r="A2" s="330"/>
      <c r="B2" s="330"/>
      <c r="C2" s="330"/>
      <c r="D2" s="330"/>
      <c r="E2" s="330"/>
      <c r="F2" s="330"/>
      <c r="G2" s="330"/>
      <c r="H2" s="330"/>
      <c r="I2" s="330"/>
      <c r="J2" s="330"/>
      <c r="K2" s="330"/>
      <c r="L2" s="330"/>
      <c r="M2" s="330"/>
      <c r="N2" s="330"/>
      <c r="O2" s="330"/>
      <c r="P2" s="330"/>
      <c r="Q2" s="330"/>
      <c r="R2" s="330"/>
    </row>
    <row r="3" spans="1:18" ht="20.100000000000001" customHeight="1" x14ac:dyDescent="0.3">
      <c r="A3" s="334" t="s">
        <v>418</v>
      </c>
      <c r="B3" s="330"/>
      <c r="C3" s="330"/>
      <c r="D3" s="330"/>
      <c r="E3" s="330"/>
      <c r="F3" s="330"/>
      <c r="G3" s="330"/>
      <c r="H3" s="330"/>
      <c r="I3" s="330"/>
      <c r="J3" s="330"/>
      <c r="K3" s="330"/>
      <c r="L3" s="330"/>
      <c r="M3" s="330"/>
      <c r="N3" s="330"/>
      <c r="O3" s="330"/>
      <c r="P3" s="330"/>
      <c r="Q3" s="330"/>
      <c r="R3" s="330"/>
    </row>
    <row r="4" spans="1:18" x14ac:dyDescent="0.25">
      <c r="A4" s="330" t="s">
        <v>416</v>
      </c>
      <c r="B4" s="330" t="s">
        <v>417</v>
      </c>
      <c r="C4" s="330"/>
      <c r="D4" s="330"/>
      <c r="E4" s="330"/>
      <c r="F4" s="330"/>
      <c r="G4" s="330"/>
      <c r="H4" s="330"/>
      <c r="I4" s="330"/>
      <c r="J4" s="330"/>
      <c r="K4" s="330"/>
      <c r="L4" s="330"/>
      <c r="M4" s="330"/>
      <c r="N4" s="330"/>
      <c r="O4" s="330"/>
      <c r="P4" s="330"/>
      <c r="Q4" s="330"/>
      <c r="R4" s="330"/>
    </row>
    <row r="5" spans="1:18" x14ac:dyDescent="0.25">
      <c r="A5" s="330" t="s">
        <v>299</v>
      </c>
      <c r="B5" s="330">
        <v>8</v>
      </c>
      <c r="C5" s="330"/>
      <c r="D5" s="330"/>
      <c r="E5" s="330"/>
      <c r="F5" s="330"/>
      <c r="G5" s="330"/>
      <c r="H5" s="330"/>
      <c r="I5" s="330"/>
      <c r="J5" s="330"/>
      <c r="K5" s="330"/>
      <c r="L5" s="330"/>
      <c r="M5" s="330"/>
      <c r="N5" s="330"/>
      <c r="O5" s="330"/>
      <c r="P5" s="330"/>
      <c r="Q5" s="330"/>
      <c r="R5" s="330"/>
    </row>
    <row r="6" spans="1:18" x14ac:dyDescent="0.25">
      <c r="A6" s="330" t="s">
        <v>300</v>
      </c>
      <c r="B6" s="330">
        <v>12</v>
      </c>
      <c r="C6" s="330"/>
      <c r="D6" s="330"/>
      <c r="E6" s="330"/>
      <c r="F6" s="330"/>
      <c r="G6" s="330"/>
      <c r="H6" s="330"/>
      <c r="I6" s="330"/>
      <c r="J6" s="330"/>
      <c r="K6" s="330"/>
      <c r="L6" s="330"/>
      <c r="M6" s="330"/>
      <c r="N6" s="330"/>
      <c r="O6" s="330"/>
      <c r="P6" s="330"/>
      <c r="Q6" s="330"/>
      <c r="R6" s="330"/>
    </row>
    <row r="7" spans="1:18" x14ac:dyDescent="0.25">
      <c r="A7" s="330" t="s">
        <v>301</v>
      </c>
      <c r="B7" s="330">
        <v>9</v>
      </c>
      <c r="C7" s="330"/>
      <c r="D7" s="330"/>
      <c r="E7" s="330"/>
      <c r="F7" s="330"/>
      <c r="G7" s="330"/>
      <c r="H7" s="330"/>
      <c r="I7" s="330"/>
      <c r="J7" s="330"/>
      <c r="K7" s="330"/>
      <c r="L7" s="330"/>
      <c r="M7" s="330"/>
      <c r="N7" s="330"/>
      <c r="O7" s="330"/>
      <c r="P7" s="330"/>
      <c r="Q7" s="330"/>
      <c r="R7" s="330"/>
    </row>
    <row r="8" spans="1:18" x14ac:dyDescent="0.25">
      <c r="A8" s="330"/>
      <c r="B8" s="330"/>
      <c r="C8" s="330"/>
      <c r="D8" s="330"/>
      <c r="E8" s="330"/>
      <c r="F8" s="330"/>
      <c r="G8" s="330"/>
      <c r="H8" s="330"/>
      <c r="I8" s="330"/>
      <c r="J8" s="330"/>
      <c r="K8" s="330"/>
      <c r="L8" s="330"/>
      <c r="M8" s="330"/>
      <c r="N8" s="330"/>
      <c r="O8" s="330"/>
      <c r="P8" s="330"/>
      <c r="Q8" s="330"/>
      <c r="R8" s="330"/>
    </row>
    <row r="9" spans="1:18" x14ac:dyDescent="0.25">
      <c r="A9" s="330"/>
      <c r="B9" s="330"/>
      <c r="C9" s="330"/>
      <c r="D9" s="330"/>
      <c r="E9" s="330"/>
      <c r="F9" s="330"/>
      <c r="G9" s="330"/>
      <c r="H9" s="330"/>
      <c r="I9" s="330"/>
      <c r="J9" s="330"/>
      <c r="K9" s="330"/>
      <c r="L9" s="330"/>
      <c r="M9" s="330"/>
      <c r="N9" s="330"/>
      <c r="O9" s="330"/>
      <c r="P9" s="330"/>
      <c r="Q9" s="330"/>
      <c r="R9" s="330"/>
    </row>
    <row r="10" spans="1:18" x14ac:dyDescent="0.25">
      <c r="A10" s="330"/>
      <c r="B10" s="330"/>
      <c r="C10" s="330"/>
      <c r="D10" s="330"/>
      <c r="E10" s="330"/>
      <c r="F10" s="330"/>
      <c r="G10" s="330"/>
      <c r="H10" s="330"/>
      <c r="I10" s="330"/>
      <c r="J10" s="330"/>
      <c r="K10" s="330"/>
      <c r="L10" s="330"/>
      <c r="M10" s="330"/>
      <c r="N10" s="330"/>
      <c r="O10" s="330"/>
      <c r="P10" s="330"/>
      <c r="Q10" s="330"/>
      <c r="R10" s="330"/>
    </row>
    <row r="11" spans="1:18" x14ac:dyDescent="0.25">
      <c r="A11" s="330"/>
      <c r="B11" s="330"/>
      <c r="C11" s="330"/>
      <c r="D11" s="330"/>
      <c r="E11" s="330"/>
      <c r="F11" s="330"/>
      <c r="G11" s="330"/>
      <c r="H11" s="330"/>
      <c r="I11" s="330"/>
      <c r="J11" s="330"/>
      <c r="K11" s="330"/>
      <c r="L11" s="330"/>
      <c r="M11" s="330"/>
      <c r="N11" s="330"/>
      <c r="O11" s="330"/>
      <c r="P11" s="330"/>
      <c r="Q11" s="330"/>
      <c r="R11" s="330"/>
    </row>
    <row r="12" spans="1:18" x14ac:dyDescent="0.25">
      <c r="A12" s="330"/>
      <c r="B12" s="330"/>
      <c r="C12" s="330"/>
      <c r="D12" s="330"/>
      <c r="E12" s="330"/>
      <c r="F12" s="330"/>
      <c r="G12" s="330"/>
      <c r="H12" s="330"/>
      <c r="I12" s="330"/>
      <c r="J12" s="330"/>
      <c r="K12" s="330"/>
      <c r="L12" s="330"/>
      <c r="M12" s="330"/>
      <c r="N12" s="330"/>
      <c r="O12" s="330"/>
      <c r="P12" s="330"/>
      <c r="Q12" s="330"/>
      <c r="R12" s="330"/>
    </row>
    <row r="13" spans="1:18" x14ac:dyDescent="0.25">
      <c r="A13" s="330"/>
      <c r="B13" s="330"/>
      <c r="C13" s="330"/>
      <c r="D13" s="330"/>
      <c r="E13" s="330"/>
      <c r="F13" s="330"/>
      <c r="G13" s="330"/>
      <c r="H13" s="330"/>
      <c r="I13" s="330"/>
      <c r="J13" s="330"/>
      <c r="K13" s="330"/>
      <c r="L13" s="330"/>
      <c r="M13" s="330"/>
      <c r="N13" s="330"/>
      <c r="O13" s="330"/>
      <c r="P13" s="330"/>
      <c r="Q13" s="330"/>
      <c r="R13" s="330"/>
    </row>
    <row r="14" spans="1:18" x14ac:dyDescent="0.25">
      <c r="A14" s="330"/>
      <c r="B14" s="330"/>
      <c r="C14" s="330"/>
      <c r="D14" s="330"/>
      <c r="E14" s="330"/>
      <c r="F14" s="330"/>
      <c r="G14" s="330"/>
      <c r="H14" s="330"/>
      <c r="I14" s="330"/>
      <c r="J14" s="330"/>
      <c r="K14" s="330"/>
      <c r="L14" s="330"/>
      <c r="M14" s="330"/>
      <c r="N14" s="330"/>
      <c r="O14" s="330"/>
      <c r="P14" s="330"/>
      <c r="Q14" s="330"/>
      <c r="R14" s="330"/>
    </row>
    <row r="15" spans="1:18" x14ac:dyDescent="0.25">
      <c r="A15" s="330"/>
      <c r="B15" s="330"/>
      <c r="C15" s="330"/>
      <c r="D15" s="330"/>
      <c r="E15" s="330"/>
      <c r="F15" s="330"/>
      <c r="G15" s="330"/>
      <c r="H15" s="330"/>
      <c r="I15" s="330"/>
      <c r="J15" s="330"/>
      <c r="K15" s="330"/>
      <c r="L15" s="330"/>
      <c r="M15" s="330"/>
      <c r="N15" s="330"/>
      <c r="O15" s="330"/>
      <c r="P15" s="330"/>
      <c r="Q15" s="330"/>
      <c r="R15" s="330"/>
    </row>
    <row r="16" spans="1:18" x14ac:dyDescent="0.25">
      <c r="A16" s="330"/>
      <c r="B16" s="330"/>
      <c r="C16" s="330"/>
      <c r="D16" s="330"/>
      <c r="E16" s="330"/>
      <c r="F16" s="330"/>
      <c r="G16" s="330"/>
      <c r="H16" s="330"/>
      <c r="I16" s="330"/>
      <c r="J16" s="330"/>
      <c r="K16" s="330"/>
      <c r="L16" s="330"/>
      <c r="M16" s="330"/>
      <c r="N16" s="330"/>
      <c r="O16" s="330"/>
      <c r="P16" s="330"/>
      <c r="Q16" s="330"/>
      <c r="R16" s="330"/>
    </row>
    <row r="17" spans="1:18" x14ac:dyDescent="0.25">
      <c r="A17" s="330"/>
      <c r="B17" s="330"/>
      <c r="C17" s="330"/>
      <c r="D17" s="330"/>
      <c r="E17" s="330"/>
      <c r="F17" s="330"/>
      <c r="G17" s="330"/>
      <c r="H17" s="330"/>
      <c r="I17" s="330"/>
      <c r="J17" s="330"/>
      <c r="K17" s="330"/>
      <c r="L17" s="330"/>
      <c r="M17" s="330"/>
      <c r="N17" s="330"/>
      <c r="O17" s="330"/>
      <c r="P17" s="330"/>
      <c r="Q17" s="330"/>
      <c r="R17" s="330"/>
    </row>
    <row r="18" spans="1:18" x14ac:dyDescent="0.25">
      <c r="A18" s="330"/>
      <c r="B18" s="330"/>
      <c r="C18" s="330"/>
      <c r="D18" s="330"/>
      <c r="E18" s="330"/>
      <c r="F18" s="330"/>
      <c r="G18" s="330"/>
      <c r="H18" s="330"/>
      <c r="I18" s="330"/>
      <c r="J18" s="330"/>
      <c r="K18" s="330"/>
      <c r="L18" s="330"/>
      <c r="M18" s="330"/>
      <c r="N18" s="330"/>
      <c r="O18" s="330"/>
      <c r="P18" s="330"/>
      <c r="Q18" s="330"/>
      <c r="R18" s="330"/>
    </row>
    <row r="19" spans="1:18" x14ac:dyDescent="0.25">
      <c r="A19" s="330"/>
      <c r="B19" s="330"/>
      <c r="C19" s="330"/>
      <c r="D19" s="330"/>
      <c r="E19" s="330"/>
      <c r="F19" s="330"/>
      <c r="G19" s="330"/>
      <c r="H19" s="330"/>
      <c r="I19" s="330"/>
      <c r="J19" s="330"/>
      <c r="K19" s="330"/>
      <c r="L19" s="330"/>
      <c r="M19" s="330"/>
      <c r="N19" s="330"/>
      <c r="O19" s="330"/>
      <c r="P19" s="330"/>
      <c r="Q19" s="330"/>
      <c r="R19" s="330"/>
    </row>
    <row r="20" spans="1:18" x14ac:dyDescent="0.25">
      <c r="A20" s="330"/>
      <c r="B20" s="330"/>
      <c r="C20" s="330"/>
      <c r="D20" s="330"/>
      <c r="E20" s="330"/>
      <c r="F20" s="330"/>
      <c r="G20" s="330"/>
      <c r="H20" s="330"/>
      <c r="I20" s="330"/>
      <c r="J20" s="330"/>
      <c r="K20" s="330"/>
      <c r="L20" s="330"/>
      <c r="M20" s="330"/>
      <c r="N20" s="330"/>
      <c r="O20" s="330"/>
      <c r="P20" s="330"/>
      <c r="Q20" s="330"/>
      <c r="R20" s="330"/>
    </row>
    <row r="21" spans="1:18" x14ac:dyDescent="0.25">
      <c r="A21" s="330"/>
      <c r="B21" s="330"/>
      <c r="C21" s="330"/>
      <c r="D21" s="330"/>
      <c r="E21" s="330"/>
      <c r="F21" s="330"/>
      <c r="G21" s="330"/>
      <c r="H21" s="330"/>
      <c r="I21" s="330"/>
      <c r="J21" s="330"/>
      <c r="K21" s="330"/>
      <c r="L21" s="330"/>
      <c r="M21" s="330"/>
      <c r="N21" s="330"/>
      <c r="O21" s="330"/>
      <c r="P21" s="330"/>
      <c r="Q21" s="330"/>
      <c r="R21" s="330"/>
    </row>
    <row r="22" spans="1:18" x14ac:dyDescent="0.25">
      <c r="A22" s="330"/>
      <c r="B22" s="330"/>
      <c r="C22" s="330"/>
      <c r="D22" s="330"/>
      <c r="E22" s="330"/>
      <c r="F22" s="330"/>
      <c r="G22" s="330"/>
      <c r="H22" s="330"/>
      <c r="I22" s="330"/>
      <c r="J22" s="330"/>
      <c r="K22" s="330"/>
      <c r="L22" s="330"/>
      <c r="M22" s="330"/>
      <c r="N22" s="330"/>
      <c r="O22" s="330"/>
      <c r="P22" s="330"/>
      <c r="Q22" s="330"/>
      <c r="R22" s="330"/>
    </row>
    <row r="23" spans="1:18" x14ac:dyDescent="0.25">
      <c r="A23" s="330"/>
      <c r="B23" s="330"/>
      <c r="C23" s="330"/>
      <c r="D23" s="330"/>
      <c r="E23" s="330"/>
      <c r="F23" s="330"/>
      <c r="G23" s="330"/>
      <c r="H23" s="330"/>
      <c r="I23" s="330"/>
      <c r="J23" s="330"/>
      <c r="K23" s="330"/>
      <c r="L23" s="330"/>
      <c r="M23" s="330"/>
      <c r="N23" s="330"/>
      <c r="O23" s="330"/>
      <c r="P23" s="330"/>
      <c r="Q23" s="330"/>
      <c r="R23" s="330"/>
    </row>
    <row r="24" spans="1:18" x14ac:dyDescent="0.25">
      <c r="A24" s="330"/>
      <c r="B24" s="330"/>
      <c r="C24" s="330"/>
      <c r="D24" s="330"/>
      <c r="E24" s="330"/>
      <c r="F24" s="330"/>
      <c r="G24" s="330"/>
      <c r="H24" s="330"/>
      <c r="I24" s="330"/>
      <c r="J24" s="330"/>
      <c r="K24" s="330"/>
      <c r="L24" s="330"/>
      <c r="M24" s="330"/>
      <c r="N24" s="330"/>
      <c r="O24" s="330"/>
      <c r="P24" s="330"/>
      <c r="Q24" s="330"/>
      <c r="R24" s="330"/>
    </row>
    <row r="25" spans="1:18" x14ac:dyDescent="0.25">
      <c r="A25" s="330"/>
      <c r="B25" s="330"/>
      <c r="C25" s="330"/>
      <c r="D25" s="330"/>
      <c r="E25" s="330"/>
      <c r="F25" s="330"/>
      <c r="G25" s="330"/>
      <c r="H25" s="330"/>
      <c r="I25" s="330"/>
      <c r="J25" s="330"/>
      <c r="K25" s="330"/>
      <c r="L25" s="330"/>
      <c r="M25" s="330"/>
      <c r="N25" s="330"/>
      <c r="O25" s="330"/>
      <c r="P25" s="330"/>
      <c r="Q25" s="330"/>
      <c r="R25" s="330"/>
    </row>
    <row r="26" spans="1:18" x14ac:dyDescent="0.25">
      <c r="A26" s="330"/>
      <c r="B26" s="330"/>
      <c r="C26" s="330"/>
      <c r="D26" s="330"/>
      <c r="E26" s="330"/>
      <c r="F26" s="330"/>
      <c r="G26" s="330"/>
      <c r="H26" s="330"/>
      <c r="I26" s="330"/>
      <c r="J26" s="330"/>
      <c r="K26" s="330"/>
      <c r="L26" s="330"/>
      <c r="M26" s="330"/>
      <c r="N26" s="330"/>
      <c r="O26" s="330"/>
      <c r="P26" s="330"/>
      <c r="Q26" s="330"/>
      <c r="R26" s="330"/>
    </row>
    <row r="27" spans="1:18" x14ac:dyDescent="0.25">
      <c r="A27" s="330"/>
      <c r="B27" s="330"/>
      <c r="C27" s="330"/>
      <c r="D27" s="330"/>
      <c r="E27" s="330"/>
      <c r="F27" s="330"/>
      <c r="G27" s="330"/>
      <c r="H27" s="330"/>
      <c r="I27" s="330"/>
      <c r="J27" s="330"/>
      <c r="K27" s="330"/>
      <c r="L27" s="330"/>
      <c r="M27" s="330"/>
      <c r="N27" s="330"/>
      <c r="O27" s="330"/>
      <c r="P27" s="330"/>
      <c r="Q27" s="330"/>
      <c r="R27" s="330"/>
    </row>
    <row r="28" spans="1:18" x14ac:dyDescent="0.25">
      <c r="A28" s="330"/>
      <c r="B28" s="330"/>
      <c r="C28" s="330"/>
      <c r="D28" s="330"/>
      <c r="E28" s="330"/>
      <c r="F28" s="330"/>
      <c r="G28" s="330"/>
      <c r="H28" s="330"/>
      <c r="I28" s="330"/>
      <c r="J28" s="330"/>
      <c r="K28" s="330"/>
      <c r="L28" s="330"/>
      <c r="M28" s="330"/>
      <c r="N28" s="330"/>
      <c r="O28" s="330"/>
      <c r="P28" s="330"/>
      <c r="Q28" s="330"/>
      <c r="R28" s="330"/>
    </row>
    <row r="29" spans="1:18" x14ac:dyDescent="0.25">
      <c r="A29" s="330"/>
      <c r="B29" s="330"/>
      <c r="C29" s="330"/>
      <c r="D29" s="330"/>
      <c r="E29" s="330"/>
      <c r="F29" s="330"/>
      <c r="G29" s="330"/>
      <c r="H29" s="330"/>
      <c r="I29" s="330"/>
      <c r="J29" s="330"/>
      <c r="K29" s="330"/>
      <c r="L29" s="330"/>
      <c r="M29" s="330"/>
      <c r="N29" s="330"/>
      <c r="O29" s="330"/>
      <c r="P29" s="330"/>
      <c r="Q29" s="330"/>
      <c r="R29" s="330"/>
    </row>
    <row r="30" spans="1:18" x14ac:dyDescent="0.25">
      <c r="A30" s="330"/>
      <c r="B30" s="330"/>
      <c r="C30" s="330"/>
      <c r="D30" s="330"/>
      <c r="E30" s="330"/>
      <c r="F30" s="330"/>
      <c r="G30" s="330"/>
      <c r="H30" s="330"/>
      <c r="I30" s="330"/>
      <c r="J30" s="330"/>
      <c r="K30" s="330"/>
      <c r="L30" s="330"/>
      <c r="M30" s="330"/>
      <c r="N30" s="330"/>
      <c r="O30" s="330"/>
      <c r="P30" s="330"/>
      <c r="Q30" s="330"/>
      <c r="R30" s="330"/>
    </row>
  </sheetData>
  <sheetProtection algorithmName="SHA-512" hashValue="zxgODjfew93dbPC2X6cFKvHBtOk6OZcvcVeRHFFAkvcRj9v+N/iTvXlF+vvJeeTgszcqhJh/Xc05/D/PGiI0OA==" saltValue="K2prQy07wLG2Is07iZbkpw==" spinCount="100000" sheet="1" objects="1" scenarios="1" formatCells="0" formatColumns="0" formatRows="0" insertColumns="0" insertRows="0" insertHyperlinks="0" deleteColumns="0" deleteRows="0" sort="0" autoFilter="0" pivotTables="0"/>
  <mergeCells count="1">
    <mergeCell ref="A1:C1"/>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E9364-C050-4535-A18D-4532B0B01C42}">
  <sheetPr codeName="Sheet5">
    <tabColor rgb="FFFF0000"/>
  </sheetPr>
  <dimension ref="A1:AD51"/>
  <sheetViews>
    <sheetView workbookViewId="0">
      <selection activeCell="D2" sqref="D2"/>
    </sheetView>
  </sheetViews>
  <sheetFormatPr defaultColWidth="9.140625" defaultRowHeight="15" x14ac:dyDescent="0.25"/>
  <cols>
    <col min="1" max="1" width="58.42578125" style="7" customWidth="1"/>
    <col min="2" max="2" width="9.140625" style="7"/>
    <col min="3" max="3" width="25" style="7" customWidth="1"/>
    <col min="4" max="4" width="14.42578125" style="7" customWidth="1"/>
    <col min="5" max="7" width="9.140625" style="7"/>
    <col min="8" max="8" width="4.140625" style="7" customWidth="1"/>
    <col min="9" max="9" width="15.28515625" style="7" customWidth="1"/>
    <col min="10" max="15" width="11.28515625" style="7" customWidth="1"/>
    <col min="16" max="17" width="9.140625" style="7"/>
    <col min="18" max="18" width="18.28515625" style="7" customWidth="1"/>
    <col min="19" max="19" width="9.140625" style="7"/>
    <col min="20" max="21" width="9.140625" style="104"/>
    <col min="22" max="27" width="9.7109375" style="7" customWidth="1"/>
    <col min="28" max="28" width="9.140625" style="7"/>
    <col min="29" max="29" width="22.42578125" style="7" bestFit="1" customWidth="1"/>
    <col min="30" max="30" width="16" style="7" bestFit="1" customWidth="1"/>
    <col min="31" max="16384" width="9.140625" style="7"/>
  </cols>
  <sheetData>
    <row r="1" spans="1:30" ht="19.899999999999999" customHeight="1" thickBot="1" x14ac:dyDescent="0.35">
      <c r="A1" s="33" t="s">
        <v>11</v>
      </c>
      <c r="C1" s="34" t="s">
        <v>12</v>
      </c>
      <c r="D1" s="4">
        <v>0</v>
      </c>
      <c r="I1" s="33" t="s">
        <v>72</v>
      </c>
      <c r="J1" s="336">
        <f>COLUMN()</f>
        <v>10</v>
      </c>
      <c r="K1" s="336">
        <f>COLUMN()</f>
        <v>11</v>
      </c>
      <c r="L1" s="336">
        <f>COLUMN()</f>
        <v>12</v>
      </c>
      <c r="M1" s="336">
        <f>COLUMN()</f>
        <v>13</v>
      </c>
      <c r="N1" s="336">
        <f>COLUMN()</f>
        <v>14</v>
      </c>
      <c r="O1" s="336">
        <f>COLUMN()</f>
        <v>15</v>
      </c>
      <c r="Q1" s="46">
        <f>COLUMN()</f>
        <v>17</v>
      </c>
      <c r="R1" s="46" t="s">
        <v>348</v>
      </c>
      <c r="S1" s="46" t="s">
        <v>170</v>
      </c>
      <c r="T1" s="119" t="s">
        <v>182</v>
      </c>
      <c r="U1" s="119" t="s">
        <v>75</v>
      </c>
      <c r="V1" s="46" t="s">
        <v>73</v>
      </c>
      <c r="W1" s="46" t="s">
        <v>101</v>
      </c>
      <c r="X1" s="46" t="s">
        <v>102</v>
      </c>
      <c r="Y1" s="46" t="s">
        <v>103</v>
      </c>
      <c r="Z1" s="46" t="s">
        <v>104</v>
      </c>
      <c r="AA1" s="46" t="s">
        <v>105</v>
      </c>
      <c r="AC1" s="279" t="s">
        <v>262</v>
      </c>
      <c r="AD1" s="279" t="s">
        <v>263</v>
      </c>
    </row>
    <row r="2" spans="1:30" ht="19.899999999999999" customHeight="1" thickTop="1" x14ac:dyDescent="0.25">
      <c r="A2" s="355" t="s">
        <v>13</v>
      </c>
      <c r="J2" s="46" t="s">
        <v>73</v>
      </c>
      <c r="K2" s="46" t="s">
        <v>101</v>
      </c>
      <c r="L2" s="46" t="s">
        <v>102</v>
      </c>
      <c r="M2" s="46" t="s">
        <v>103</v>
      </c>
      <c r="N2" s="46" t="s">
        <v>104</v>
      </c>
      <c r="O2" s="46" t="s">
        <v>105</v>
      </c>
      <c r="Q2" s="319" t="s">
        <v>140</v>
      </c>
      <c r="R2" s="319" t="s">
        <v>299</v>
      </c>
      <c r="S2" s="319" t="s">
        <v>73</v>
      </c>
      <c r="T2" s="320">
        <v>1</v>
      </c>
      <c r="U2" s="320">
        <f>INDEX($J$4:$O$4, MATCH(T2,$J$5:$O$5,1))</f>
        <v>0</v>
      </c>
      <c r="V2" s="320">
        <f>IF(VLOOKUP(V$1,$S$2:$U$23,3,0)=1,2,IF(AND($S2=V$1,$U2=0),1,0))</f>
        <v>1</v>
      </c>
      <c r="W2" s="320" t="e">
        <f t="shared" ref="W2:AA2" si="0">IF(VLOOKUP(W$1,$S$2:$U$23,3,0)=1,2,IF(AND($S2=W$1,$U2=0),1,0))</f>
        <v>#N/A</v>
      </c>
      <c r="X2" s="320" t="e">
        <f t="shared" si="0"/>
        <v>#N/A</v>
      </c>
      <c r="Y2" s="320" t="e">
        <f t="shared" si="0"/>
        <v>#N/A</v>
      </c>
      <c r="Z2" s="320" t="e">
        <f t="shared" si="0"/>
        <v>#N/A</v>
      </c>
      <c r="AA2" s="320" t="e">
        <f t="shared" si="0"/>
        <v>#N/A</v>
      </c>
      <c r="AC2" s="7" t="s">
        <v>299</v>
      </c>
      <c r="AD2" s="7">
        <f>COUNTIF($R$2:$R$50,AC2)</f>
        <v>1</v>
      </c>
    </row>
    <row r="3" spans="1:30" ht="19.899999999999999" customHeight="1" thickBot="1" x14ac:dyDescent="0.35">
      <c r="A3" s="356"/>
      <c r="C3" s="34" t="s">
        <v>14</v>
      </c>
      <c r="D3" s="35" t="s">
        <v>20</v>
      </c>
      <c r="I3" s="7" t="s">
        <v>74</v>
      </c>
      <c r="J3" s="43">
        <v>1</v>
      </c>
      <c r="K3" s="43">
        <v>0</v>
      </c>
      <c r="L3" s="43">
        <v>0</v>
      </c>
      <c r="M3" s="43">
        <v>0</v>
      </c>
      <c r="N3" s="43">
        <v>0</v>
      </c>
      <c r="O3" s="43">
        <v>0</v>
      </c>
      <c r="Q3" s="321" t="s">
        <v>141</v>
      </c>
      <c r="R3" s="321" t="s">
        <v>300</v>
      </c>
      <c r="S3" s="321" t="s">
        <v>73</v>
      </c>
      <c r="T3" s="322">
        <v>2</v>
      </c>
      <c r="U3" s="322">
        <f t="shared" ref="U3:U5" si="1">INDEX($J$4:$O$4, MATCH(T3,$J$5:$O$5,1))</f>
        <v>0</v>
      </c>
      <c r="V3" s="322">
        <f t="shared" ref="V3:AA5" si="2">IF(VLOOKUP(V$1,$S$2:$U$23,3,0)=1,2,IF(AND($S3=V$1,$U3=0),1,0))</f>
        <v>1</v>
      </c>
      <c r="W3" s="322" t="e">
        <f t="shared" si="2"/>
        <v>#N/A</v>
      </c>
      <c r="X3" s="322" t="e">
        <f t="shared" si="2"/>
        <v>#N/A</v>
      </c>
      <c r="Y3" s="322" t="e">
        <f t="shared" si="2"/>
        <v>#N/A</v>
      </c>
      <c r="Z3" s="322" t="e">
        <f t="shared" si="2"/>
        <v>#N/A</v>
      </c>
      <c r="AA3" s="322" t="e">
        <f t="shared" si="2"/>
        <v>#N/A</v>
      </c>
      <c r="AC3" s="7" t="s">
        <v>300</v>
      </c>
      <c r="AD3" s="7">
        <f t="shared" ref="AD3:AD51" si="3">COUNTIF($R$2:$R$50,AC3)</f>
        <v>1</v>
      </c>
    </row>
    <row r="4" spans="1:30" ht="19.899999999999999" customHeight="1" thickTop="1" x14ac:dyDescent="0.25">
      <c r="A4" s="356" t="s">
        <v>15</v>
      </c>
      <c r="I4" s="7" t="s">
        <v>75</v>
      </c>
      <c r="J4" s="45">
        <v>0</v>
      </c>
      <c r="K4" s="45">
        <v>0</v>
      </c>
      <c r="L4" s="45">
        <v>0</v>
      </c>
      <c r="M4" s="45">
        <v>0</v>
      </c>
      <c r="N4" s="45">
        <v>0</v>
      </c>
      <c r="O4" s="45">
        <v>0</v>
      </c>
      <c r="Q4" s="321" t="s">
        <v>142</v>
      </c>
      <c r="R4" s="321" t="s">
        <v>301</v>
      </c>
      <c r="S4" s="321" t="s">
        <v>73</v>
      </c>
      <c r="T4" s="322">
        <v>3</v>
      </c>
      <c r="U4" s="322">
        <f t="shared" si="1"/>
        <v>0</v>
      </c>
      <c r="V4" s="322">
        <f t="shared" si="2"/>
        <v>1</v>
      </c>
      <c r="W4" s="322" t="e">
        <f t="shared" si="2"/>
        <v>#N/A</v>
      </c>
      <c r="X4" s="322" t="e">
        <f t="shared" si="2"/>
        <v>#N/A</v>
      </c>
      <c r="Y4" s="322" t="e">
        <f t="shared" si="2"/>
        <v>#N/A</v>
      </c>
      <c r="Z4" s="322" t="e">
        <f t="shared" si="2"/>
        <v>#N/A</v>
      </c>
      <c r="AA4" s="322" t="e">
        <f t="shared" si="2"/>
        <v>#N/A</v>
      </c>
      <c r="AC4" s="7" t="s">
        <v>301</v>
      </c>
      <c r="AD4" s="7">
        <f t="shared" si="3"/>
        <v>1</v>
      </c>
    </row>
    <row r="5" spans="1:30" ht="19.899999999999999" customHeight="1" thickBot="1" x14ac:dyDescent="0.35">
      <c r="A5" s="356"/>
      <c r="C5" s="34" t="s">
        <v>16</v>
      </c>
      <c r="D5" s="35" t="s">
        <v>21</v>
      </c>
      <c r="I5" s="7" t="s">
        <v>106</v>
      </c>
      <c r="J5" s="44">
        <v>1</v>
      </c>
      <c r="K5" s="44">
        <f>J6+1</f>
        <v>5</v>
      </c>
      <c r="L5" s="44">
        <f t="shared" ref="L5:O5" si="4">K6+1</f>
        <v>9</v>
      </c>
      <c r="M5" s="44">
        <f>L6+1</f>
        <v>14</v>
      </c>
      <c r="N5" s="44">
        <f>M6+1</f>
        <v>19</v>
      </c>
      <c r="O5" s="44">
        <f t="shared" si="4"/>
        <v>21</v>
      </c>
      <c r="Q5" s="321" t="s">
        <v>143</v>
      </c>
      <c r="R5" s="321" t="s">
        <v>347</v>
      </c>
      <c r="S5" s="321" t="s">
        <v>73</v>
      </c>
      <c r="T5" s="322">
        <v>4</v>
      </c>
      <c r="U5" s="322">
        <f t="shared" si="1"/>
        <v>0</v>
      </c>
      <c r="V5" s="322">
        <f t="shared" si="2"/>
        <v>1</v>
      </c>
      <c r="W5" s="322" t="e">
        <f t="shared" si="2"/>
        <v>#N/A</v>
      </c>
      <c r="X5" s="322" t="e">
        <f t="shared" si="2"/>
        <v>#N/A</v>
      </c>
      <c r="Y5" s="322" t="e">
        <f t="shared" si="2"/>
        <v>#N/A</v>
      </c>
      <c r="Z5" s="322" t="e">
        <f t="shared" si="2"/>
        <v>#N/A</v>
      </c>
      <c r="AA5" s="322" t="e">
        <f t="shared" si="2"/>
        <v>#N/A</v>
      </c>
      <c r="AC5" s="7" t="s">
        <v>347</v>
      </c>
      <c r="AD5" s="7">
        <f t="shared" si="3"/>
        <v>1</v>
      </c>
    </row>
    <row r="6" spans="1:30" ht="19.899999999999999" customHeight="1" thickTop="1" x14ac:dyDescent="0.25">
      <c r="A6" s="356" t="s">
        <v>18</v>
      </c>
      <c r="I6" s="7" t="s">
        <v>107</v>
      </c>
      <c r="J6" s="44">
        <v>4</v>
      </c>
      <c r="K6" s="44">
        <v>8</v>
      </c>
      <c r="L6" s="44">
        <v>13</v>
      </c>
      <c r="M6" s="44">
        <v>18</v>
      </c>
      <c r="N6" s="44">
        <v>20</v>
      </c>
      <c r="O6" s="44">
        <v>22</v>
      </c>
      <c r="Q6" s="323"/>
      <c r="R6" s="323" t="s">
        <v>252</v>
      </c>
      <c r="S6" s="323"/>
      <c r="T6" s="322"/>
      <c r="U6" s="322"/>
      <c r="V6" s="322"/>
      <c r="W6" s="322"/>
      <c r="X6" s="322"/>
      <c r="Y6" s="322"/>
      <c r="Z6" s="322"/>
      <c r="AA6" s="322"/>
      <c r="AC6" s="7" t="s">
        <v>252</v>
      </c>
      <c r="AD6" s="7">
        <f t="shared" si="3"/>
        <v>2</v>
      </c>
    </row>
    <row r="7" spans="1:30" ht="19.899999999999999" customHeight="1" x14ac:dyDescent="0.25">
      <c r="A7" s="356"/>
      <c r="J7" s="77"/>
      <c r="K7" s="77"/>
      <c r="L7" s="77"/>
      <c r="M7" s="77"/>
      <c r="N7" s="77"/>
      <c r="O7" s="77"/>
      <c r="Q7" s="323"/>
      <c r="R7" s="323" t="s">
        <v>253</v>
      </c>
      <c r="S7" s="323"/>
      <c r="T7" s="322"/>
      <c r="U7" s="322"/>
      <c r="V7" s="322"/>
      <c r="W7" s="322"/>
      <c r="X7" s="322"/>
      <c r="Y7" s="322"/>
      <c r="Z7" s="322"/>
      <c r="AA7" s="322"/>
      <c r="AC7" s="7" t="s">
        <v>253</v>
      </c>
      <c r="AD7" s="7">
        <f t="shared" si="3"/>
        <v>2</v>
      </c>
    </row>
    <row r="8" spans="1:30" ht="19.899999999999999" customHeight="1" x14ac:dyDescent="0.3">
      <c r="A8" s="36" t="s">
        <v>17</v>
      </c>
      <c r="K8" s="44"/>
      <c r="L8" s="44"/>
      <c r="M8" s="44"/>
      <c r="N8" s="44"/>
      <c r="O8" s="44"/>
      <c r="Q8" s="323"/>
      <c r="R8" s="323" t="s">
        <v>180</v>
      </c>
      <c r="S8" s="323"/>
      <c r="T8" s="322"/>
      <c r="U8" s="322"/>
      <c r="V8" s="322"/>
      <c r="W8" s="322"/>
      <c r="X8" s="322"/>
      <c r="Y8" s="322"/>
      <c r="Z8" s="322"/>
      <c r="AA8" s="322"/>
      <c r="AC8" s="7" t="s">
        <v>180</v>
      </c>
      <c r="AD8" s="7">
        <f t="shared" si="3"/>
        <v>2</v>
      </c>
    </row>
    <row r="9" spans="1:30" ht="19.899999999999999" customHeight="1" x14ac:dyDescent="0.25">
      <c r="A9" s="357" t="s">
        <v>19</v>
      </c>
      <c r="I9" s="7" t="s">
        <v>188</v>
      </c>
      <c r="J9" s="10">
        <v>22</v>
      </c>
      <c r="Q9" s="323"/>
      <c r="R9" s="323" t="s">
        <v>254</v>
      </c>
      <c r="S9" s="323"/>
      <c r="T9" s="322"/>
      <c r="U9" s="322"/>
      <c r="V9" s="322"/>
      <c r="W9" s="322"/>
      <c r="X9" s="322"/>
      <c r="Y9" s="322"/>
      <c r="Z9" s="322"/>
      <c r="AA9" s="322"/>
      <c r="AC9" s="7" t="s">
        <v>254</v>
      </c>
      <c r="AD9" s="7">
        <f t="shared" si="3"/>
        <v>2</v>
      </c>
    </row>
    <row r="10" spans="1:30" ht="18" customHeight="1" x14ac:dyDescent="0.25">
      <c r="A10" s="358"/>
      <c r="I10" s="7" t="s">
        <v>186</v>
      </c>
      <c r="J10" s="10" t="e">
        <f>INDEX($S$2:$S$23, MATCH(J9,$T$2:$T$23,0))</f>
        <v>#N/A</v>
      </c>
      <c r="Q10" s="324"/>
      <c r="R10" s="324" t="s">
        <v>255</v>
      </c>
      <c r="S10" s="324"/>
      <c r="T10" s="322"/>
      <c r="U10" s="322"/>
      <c r="V10" s="322"/>
      <c r="W10" s="322"/>
      <c r="X10" s="322"/>
      <c r="Y10" s="322"/>
      <c r="Z10" s="322"/>
      <c r="AA10" s="322"/>
      <c r="AC10" s="7" t="s">
        <v>255</v>
      </c>
      <c r="AD10" s="7">
        <f t="shared" si="3"/>
        <v>2</v>
      </c>
    </row>
    <row r="11" spans="1:30" ht="18" customHeight="1" x14ac:dyDescent="0.25">
      <c r="Q11" s="324"/>
      <c r="R11" s="324" t="s">
        <v>256</v>
      </c>
      <c r="S11" s="324"/>
      <c r="T11" s="322"/>
      <c r="U11" s="322"/>
      <c r="V11" s="322"/>
      <c r="W11" s="322"/>
      <c r="X11" s="322"/>
      <c r="Y11" s="322"/>
      <c r="Z11" s="322"/>
      <c r="AA11" s="322"/>
      <c r="AC11" s="7" t="s">
        <v>256</v>
      </c>
      <c r="AD11" s="7">
        <f t="shared" si="3"/>
        <v>2</v>
      </c>
    </row>
    <row r="12" spans="1:30" ht="20.25" customHeight="1" thickBot="1" x14ac:dyDescent="0.35">
      <c r="A12" s="99" t="s">
        <v>209</v>
      </c>
      <c r="I12" s="33" t="s">
        <v>187</v>
      </c>
      <c r="J12" s="33"/>
      <c r="M12" s="138" t="s">
        <v>187</v>
      </c>
      <c r="O12" s="138" t="s">
        <v>687</v>
      </c>
      <c r="Q12" s="324"/>
      <c r="R12" s="324" t="s">
        <v>257</v>
      </c>
      <c r="S12" s="324"/>
      <c r="T12" s="322"/>
      <c r="U12" s="322"/>
      <c r="V12" s="322"/>
      <c r="W12" s="322"/>
      <c r="X12" s="322"/>
      <c r="Y12" s="322"/>
      <c r="Z12" s="322"/>
      <c r="AA12" s="322"/>
      <c r="AC12" s="7" t="s">
        <v>257</v>
      </c>
      <c r="AD12" s="7">
        <f t="shared" si="3"/>
        <v>2</v>
      </c>
    </row>
    <row r="13" spans="1:30" ht="20.25" customHeight="1" thickTop="1" x14ac:dyDescent="0.3">
      <c r="A13" s="99" t="s">
        <v>210</v>
      </c>
      <c r="I13" s="7" t="s">
        <v>27</v>
      </c>
      <c r="J13" s="7">
        <v>1</v>
      </c>
      <c r="L13" s="7" t="s">
        <v>188</v>
      </c>
      <c r="M13" s="10" t="s">
        <v>299</v>
      </c>
      <c r="O13" s="7" t="str">
        <f>INDEX($S$2:$S$23,MATCH(M13,$R$2:$R$23,0))</f>
        <v>Project 1</v>
      </c>
      <c r="Q13" s="324"/>
      <c r="R13" s="324" t="s">
        <v>258</v>
      </c>
      <c r="S13" s="324"/>
      <c r="T13" s="322"/>
      <c r="U13" s="322"/>
      <c r="V13" s="322"/>
      <c r="W13" s="322"/>
      <c r="X13" s="322"/>
      <c r="Y13" s="322"/>
      <c r="Z13" s="322"/>
      <c r="AA13" s="322"/>
      <c r="AC13" s="7" t="s">
        <v>258</v>
      </c>
      <c r="AD13" s="7">
        <f t="shared" si="3"/>
        <v>2</v>
      </c>
    </row>
    <row r="14" spans="1:30" ht="20.25" customHeight="1" x14ac:dyDescent="0.3">
      <c r="A14" s="99" t="s">
        <v>211</v>
      </c>
      <c r="I14" s="7" t="s">
        <v>31</v>
      </c>
      <c r="J14" s="7">
        <v>0</v>
      </c>
      <c r="L14" s="7" t="s">
        <v>106</v>
      </c>
      <c r="M14" s="7">
        <v>1</v>
      </c>
      <c r="Q14" s="324"/>
      <c r="R14" s="324" t="s">
        <v>259</v>
      </c>
      <c r="S14" s="324"/>
      <c r="T14" s="322"/>
      <c r="U14" s="322"/>
      <c r="V14" s="322"/>
      <c r="W14" s="322"/>
      <c r="X14" s="322"/>
      <c r="Y14" s="322"/>
      <c r="Z14" s="322"/>
      <c r="AA14" s="322"/>
      <c r="AC14" s="7" t="s">
        <v>259</v>
      </c>
      <c r="AD14" s="7">
        <f t="shared" si="3"/>
        <v>2</v>
      </c>
    </row>
    <row r="15" spans="1:30" ht="20.25" customHeight="1" x14ac:dyDescent="0.3">
      <c r="A15" s="99" t="s">
        <v>212</v>
      </c>
      <c r="I15" s="7" t="s">
        <v>32</v>
      </c>
      <c r="J15" s="7">
        <v>0</v>
      </c>
      <c r="L15" s="7" t="s">
        <v>107</v>
      </c>
      <c r="M15" s="7">
        <v>4</v>
      </c>
      <c r="Q15" s="325"/>
      <c r="R15" s="325" t="s">
        <v>260</v>
      </c>
      <c r="S15" s="325"/>
      <c r="T15" s="322"/>
      <c r="U15" s="322"/>
      <c r="V15" s="322"/>
      <c r="W15" s="322"/>
      <c r="X15" s="322"/>
      <c r="Y15" s="322"/>
      <c r="Z15" s="322"/>
      <c r="AA15" s="322"/>
      <c r="AC15" s="7" t="s">
        <v>260</v>
      </c>
      <c r="AD15" s="7">
        <f t="shared" si="3"/>
        <v>2</v>
      </c>
    </row>
    <row r="16" spans="1:30" ht="20.25" customHeight="1" x14ac:dyDescent="0.3">
      <c r="A16" s="99" t="s">
        <v>213</v>
      </c>
      <c r="I16" s="7" t="s">
        <v>40</v>
      </c>
      <c r="J16" s="7">
        <v>0</v>
      </c>
      <c r="Q16" s="325"/>
      <c r="R16" s="325" t="s">
        <v>261</v>
      </c>
      <c r="S16" s="325"/>
      <c r="T16" s="322"/>
      <c r="U16" s="322"/>
      <c r="V16" s="322"/>
      <c r="W16" s="322"/>
      <c r="X16" s="322"/>
      <c r="Y16" s="322"/>
      <c r="Z16" s="322"/>
      <c r="AA16" s="322"/>
      <c r="AC16" s="7" t="s">
        <v>261</v>
      </c>
      <c r="AD16" s="7">
        <f t="shared" si="3"/>
        <v>2</v>
      </c>
    </row>
    <row r="17" spans="1:30" ht="20.25" customHeight="1" x14ac:dyDescent="0.3">
      <c r="A17" s="99" t="s">
        <v>214</v>
      </c>
      <c r="I17" s="7" t="s">
        <v>43</v>
      </c>
      <c r="J17" s="7">
        <v>0</v>
      </c>
      <c r="Q17" s="325"/>
      <c r="R17" s="325" t="s">
        <v>490</v>
      </c>
      <c r="S17" s="325"/>
      <c r="T17" s="322"/>
      <c r="U17" s="322"/>
      <c r="V17" s="322"/>
      <c r="W17" s="322"/>
      <c r="X17" s="322"/>
      <c r="Y17" s="322"/>
      <c r="Z17" s="322"/>
      <c r="AA17" s="322"/>
      <c r="AC17" s="7" t="s">
        <v>490</v>
      </c>
      <c r="AD17" s="7">
        <f t="shared" si="3"/>
        <v>2</v>
      </c>
    </row>
    <row r="18" spans="1:30" ht="15.95" customHeight="1" x14ac:dyDescent="0.25">
      <c r="I18" s="7" t="s">
        <v>54</v>
      </c>
      <c r="J18" s="7">
        <v>0</v>
      </c>
      <c r="Q18" s="325"/>
      <c r="R18" s="325"/>
      <c r="S18" s="325"/>
      <c r="T18" s="322"/>
      <c r="U18" s="322"/>
      <c r="V18" s="322"/>
      <c r="W18" s="322"/>
      <c r="X18" s="322"/>
      <c r="Y18" s="322"/>
      <c r="Z18" s="322"/>
      <c r="AA18" s="322"/>
      <c r="AC18" s="7" t="s">
        <v>516</v>
      </c>
      <c r="AD18" s="7">
        <f t="shared" si="3"/>
        <v>0</v>
      </c>
    </row>
    <row r="19" spans="1:30" ht="15.95" customHeight="1" x14ac:dyDescent="0.25">
      <c r="Q19" s="325"/>
      <c r="R19" s="325"/>
      <c r="S19" s="325"/>
      <c r="T19" s="322"/>
      <c r="U19" s="322"/>
      <c r="V19" s="322"/>
      <c r="W19" s="322"/>
      <c r="X19" s="322"/>
      <c r="Y19" s="322"/>
      <c r="Z19" s="322"/>
      <c r="AA19" s="322"/>
      <c r="AC19" s="7" t="s">
        <v>509</v>
      </c>
      <c r="AD19" s="7">
        <f t="shared" si="3"/>
        <v>0</v>
      </c>
    </row>
    <row r="20" spans="1:30" ht="15.95" customHeight="1" x14ac:dyDescent="0.25">
      <c r="Q20" s="326"/>
      <c r="R20" s="326"/>
      <c r="S20" s="326"/>
      <c r="T20" s="322"/>
      <c r="U20" s="322"/>
      <c r="V20" s="322"/>
      <c r="W20" s="322"/>
      <c r="X20" s="322"/>
      <c r="Y20" s="322"/>
      <c r="Z20" s="322"/>
      <c r="AA20" s="322"/>
      <c r="AC20" s="7" t="s">
        <v>633</v>
      </c>
      <c r="AD20" s="7">
        <f t="shared" si="3"/>
        <v>0</v>
      </c>
    </row>
    <row r="21" spans="1:30" ht="15.95" customHeight="1" x14ac:dyDescent="0.25">
      <c r="I21" s="7" t="s">
        <v>188</v>
      </c>
      <c r="J21" s="7" t="s">
        <v>347</v>
      </c>
      <c r="Q21" s="326"/>
      <c r="R21" s="326"/>
      <c r="S21" s="326"/>
      <c r="T21" s="322"/>
      <c r="U21" s="322"/>
      <c r="V21" s="322"/>
      <c r="W21" s="322"/>
      <c r="X21" s="322"/>
      <c r="Y21" s="322"/>
      <c r="Z21" s="322"/>
      <c r="AA21" s="322"/>
      <c r="AC21" s="7" t="s">
        <v>632</v>
      </c>
      <c r="AD21" s="7">
        <f t="shared" si="3"/>
        <v>0</v>
      </c>
    </row>
    <row r="22" spans="1:30" ht="15.95" customHeight="1" x14ac:dyDescent="0.25">
      <c r="I22" s="7" t="s">
        <v>690</v>
      </c>
      <c r="J22" s="7" t="s">
        <v>73</v>
      </c>
      <c r="Q22" s="327"/>
      <c r="R22" s="327"/>
      <c r="S22" s="327"/>
      <c r="T22" s="322"/>
      <c r="U22" s="322"/>
      <c r="V22" s="322"/>
      <c r="W22" s="322"/>
      <c r="X22" s="322"/>
      <c r="Y22" s="322"/>
      <c r="Z22" s="322"/>
      <c r="AA22" s="322"/>
      <c r="AC22" s="7" t="s">
        <v>546</v>
      </c>
      <c r="AD22" s="7">
        <f t="shared" si="3"/>
        <v>0</v>
      </c>
    </row>
    <row r="23" spans="1:30" ht="15.95" customHeight="1" x14ac:dyDescent="0.25">
      <c r="Q23" s="327"/>
      <c r="R23" s="327"/>
      <c r="S23" s="327"/>
      <c r="T23" s="322"/>
      <c r="U23" s="322"/>
      <c r="V23" s="322"/>
      <c r="W23" s="322"/>
      <c r="X23" s="322"/>
      <c r="Y23" s="322"/>
      <c r="Z23" s="322"/>
      <c r="AA23" s="322"/>
      <c r="AC23" s="7" t="s">
        <v>638</v>
      </c>
      <c r="AD23" s="7">
        <f t="shared" si="3"/>
        <v>0</v>
      </c>
    </row>
    <row r="24" spans="1:30" x14ac:dyDescent="0.25">
      <c r="Q24" s="328" t="s">
        <v>662</v>
      </c>
      <c r="R24" s="328" t="s">
        <v>252</v>
      </c>
      <c r="S24" s="328"/>
      <c r="T24" s="322">
        <v>23</v>
      </c>
      <c r="U24" s="322"/>
      <c r="V24" s="329"/>
      <c r="W24" s="329"/>
      <c r="X24" s="329"/>
      <c r="Y24" s="329"/>
      <c r="Z24" s="329"/>
      <c r="AA24" s="329"/>
      <c r="AC24" s="7" t="s">
        <v>252</v>
      </c>
      <c r="AD24" s="7">
        <f t="shared" si="3"/>
        <v>2</v>
      </c>
    </row>
    <row r="25" spans="1:30" x14ac:dyDescent="0.25">
      <c r="Q25" s="328" t="s">
        <v>663</v>
      </c>
      <c r="R25" s="328" t="s">
        <v>253</v>
      </c>
      <c r="S25" s="328"/>
      <c r="T25" s="322">
        <v>24</v>
      </c>
      <c r="U25" s="322"/>
      <c r="V25" s="329"/>
      <c r="W25" s="329"/>
      <c r="X25" s="329"/>
      <c r="Y25" s="329"/>
      <c r="Z25" s="329"/>
      <c r="AA25" s="329"/>
      <c r="AC25" s="7" t="s">
        <v>253</v>
      </c>
      <c r="AD25" s="7">
        <f t="shared" si="3"/>
        <v>2</v>
      </c>
    </row>
    <row r="26" spans="1:30" x14ac:dyDescent="0.25">
      <c r="Q26" s="328" t="s">
        <v>664</v>
      </c>
      <c r="R26" s="328" t="s">
        <v>180</v>
      </c>
      <c r="S26" s="328"/>
      <c r="T26" s="322">
        <v>25</v>
      </c>
      <c r="U26" s="322"/>
      <c r="V26" s="329"/>
      <c r="W26" s="329"/>
      <c r="X26" s="329"/>
      <c r="Y26" s="329"/>
      <c r="Z26" s="329"/>
      <c r="AA26" s="329"/>
      <c r="AC26" s="7" t="s">
        <v>180</v>
      </c>
      <c r="AD26" s="7">
        <f t="shared" si="3"/>
        <v>2</v>
      </c>
    </row>
    <row r="27" spans="1:30" x14ac:dyDescent="0.25">
      <c r="Q27" s="328" t="s">
        <v>665</v>
      </c>
      <c r="R27" s="328" t="s">
        <v>254</v>
      </c>
      <c r="S27" s="328"/>
      <c r="T27" s="322">
        <v>26</v>
      </c>
      <c r="U27" s="322"/>
      <c r="V27" s="329"/>
      <c r="W27" s="329"/>
      <c r="X27" s="329"/>
      <c r="Y27" s="329"/>
      <c r="Z27" s="329"/>
      <c r="AA27" s="329"/>
      <c r="AC27" s="7" t="s">
        <v>254</v>
      </c>
      <c r="AD27" s="7">
        <f t="shared" si="3"/>
        <v>2</v>
      </c>
    </row>
    <row r="28" spans="1:30" x14ac:dyDescent="0.25">
      <c r="Q28" s="328" t="s">
        <v>666</v>
      </c>
      <c r="R28" s="328" t="s">
        <v>255</v>
      </c>
      <c r="S28" s="328"/>
      <c r="T28" s="322">
        <v>27</v>
      </c>
      <c r="U28" s="322"/>
      <c r="V28" s="329"/>
      <c r="W28" s="329"/>
      <c r="X28" s="329"/>
      <c r="Y28" s="329"/>
      <c r="Z28" s="329"/>
      <c r="AA28" s="329"/>
      <c r="AC28" s="7" t="s">
        <v>255</v>
      </c>
      <c r="AD28" s="7">
        <f t="shared" si="3"/>
        <v>2</v>
      </c>
    </row>
    <row r="29" spans="1:30" x14ac:dyDescent="0.25">
      <c r="Q29" s="328" t="s">
        <v>667</v>
      </c>
      <c r="R29" s="328" t="s">
        <v>256</v>
      </c>
      <c r="S29" s="328"/>
      <c r="T29" s="322">
        <v>28</v>
      </c>
      <c r="U29" s="322"/>
      <c r="V29" s="329"/>
      <c r="W29" s="329"/>
      <c r="X29" s="329"/>
      <c r="Y29" s="329"/>
      <c r="Z29" s="329"/>
      <c r="AA29" s="329"/>
      <c r="AC29" s="7" t="s">
        <v>256</v>
      </c>
      <c r="AD29" s="7">
        <f t="shared" si="3"/>
        <v>2</v>
      </c>
    </row>
    <row r="30" spans="1:30" x14ac:dyDescent="0.25">
      <c r="Q30" s="328" t="s">
        <v>668</v>
      </c>
      <c r="R30" s="328" t="s">
        <v>257</v>
      </c>
      <c r="S30" s="328"/>
      <c r="T30" s="322">
        <v>29</v>
      </c>
      <c r="U30" s="322"/>
      <c r="V30" s="329"/>
      <c r="W30" s="329"/>
      <c r="X30" s="329"/>
      <c r="Y30" s="329"/>
      <c r="Z30" s="329"/>
      <c r="AA30" s="329"/>
      <c r="AC30" s="7" t="s">
        <v>257</v>
      </c>
      <c r="AD30" s="7">
        <f t="shared" si="3"/>
        <v>2</v>
      </c>
    </row>
    <row r="31" spans="1:30" x14ac:dyDescent="0.25">
      <c r="Q31" s="328" t="s">
        <v>669</v>
      </c>
      <c r="R31" s="328" t="s">
        <v>258</v>
      </c>
      <c r="S31" s="328"/>
      <c r="T31" s="322">
        <v>30</v>
      </c>
      <c r="U31" s="322"/>
      <c r="V31" s="329"/>
      <c r="W31" s="329"/>
      <c r="X31" s="329"/>
      <c r="Y31" s="329"/>
      <c r="Z31" s="329"/>
      <c r="AA31" s="329"/>
      <c r="AC31" s="7" t="s">
        <v>258</v>
      </c>
      <c r="AD31" s="7">
        <f t="shared" si="3"/>
        <v>2</v>
      </c>
    </row>
    <row r="32" spans="1:30" x14ac:dyDescent="0.25">
      <c r="Q32" s="328" t="s">
        <v>670</v>
      </c>
      <c r="R32" s="328" t="s">
        <v>259</v>
      </c>
      <c r="S32" s="328"/>
      <c r="T32" s="322">
        <v>31</v>
      </c>
      <c r="U32" s="322"/>
      <c r="V32" s="329"/>
      <c r="W32" s="329"/>
      <c r="X32" s="329"/>
      <c r="Y32" s="329"/>
      <c r="Z32" s="329"/>
      <c r="AA32" s="329"/>
      <c r="AC32" s="7" t="s">
        <v>259</v>
      </c>
      <c r="AD32" s="7">
        <f t="shared" si="3"/>
        <v>2</v>
      </c>
    </row>
    <row r="33" spans="17:30" x14ac:dyDescent="0.25">
      <c r="Q33" s="328" t="s">
        <v>671</v>
      </c>
      <c r="R33" s="328" t="s">
        <v>260</v>
      </c>
      <c r="S33" s="328"/>
      <c r="T33" s="322">
        <v>32</v>
      </c>
      <c r="U33" s="322"/>
      <c r="V33" s="329"/>
      <c r="W33" s="329"/>
      <c r="X33" s="329"/>
      <c r="Y33" s="329"/>
      <c r="Z33" s="329"/>
      <c r="AA33" s="329"/>
      <c r="AC33" s="7" t="s">
        <v>260</v>
      </c>
      <c r="AD33" s="7">
        <f t="shared" si="3"/>
        <v>2</v>
      </c>
    </row>
    <row r="34" spans="17:30" x14ac:dyDescent="0.25">
      <c r="Q34" s="328" t="s">
        <v>672</v>
      </c>
      <c r="R34" s="328" t="s">
        <v>261</v>
      </c>
      <c r="S34" s="328"/>
      <c r="T34" s="322">
        <v>33</v>
      </c>
      <c r="U34" s="322"/>
      <c r="V34" s="329"/>
      <c r="W34" s="329"/>
      <c r="X34" s="329"/>
      <c r="Y34" s="329"/>
      <c r="Z34" s="329"/>
      <c r="AA34" s="329"/>
      <c r="AC34" s="7" t="s">
        <v>261</v>
      </c>
      <c r="AD34" s="7">
        <f t="shared" si="3"/>
        <v>2</v>
      </c>
    </row>
    <row r="35" spans="17:30" x14ac:dyDescent="0.25">
      <c r="Q35" s="328" t="s">
        <v>673</v>
      </c>
      <c r="R35" s="328" t="s">
        <v>490</v>
      </c>
      <c r="S35" s="328"/>
      <c r="T35" s="322">
        <v>34</v>
      </c>
      <c r="U35" s="322"/>
      <c r="V35" s="329"/>
      <c r="W35" s="329"/>
      <c r="X35" s="329"/>
      <c r="Y35" s="329"/>
      <c r="Z35" s="329"/>
      <c r="AA35" s="329"/>
      <c r="AC35" s="7" t="s">
        <v>490</v>
      </c>
      <c r="AD35" s="7">
        <f t="shared" si="3"/>
        <v>2</v>
      </c>
    </row>
    <row r="36" spans="17:30" x14ac:dyDescent="0.25">
      <c r="AC36" s="7" t="s">
        <v>490</v>
      </c>
      <c r="AD36" s="7">
        <f t="shared" si="3"/>
        <v>2</v>
      </c>
    </row>
    <row r="37" spans="17:30" x14ac:dyDescent="0.25">
      <c r="AD37" s="7">
        <f t="shared" si="3"/>
        <v>0</v>
      </c>
    </row>
    <row r="38" spans="17:30" x14ac:dyDescent="0.25">
      <c r="AD38" s="7">
        <f t="shared" si="3"/>
        <v>0</v>
      </c>
    </row>
    <row r="39" spans="17:30" x14ac:dyDescent="0.25">
      <c r="AD39" s="7">
        <f t="shared" si="3"/>
        <v>0</v>
      </c>
    </row>
    <row r="40" spans="17:30" x14ac:dyDescent="0.25">
      <c r="AD40" s="7">
        <f t="shared" si="3"/>
        <v>0</v>
      </c>
    </row>
    <row r="41" spans="17:30" x14ac:dyDescent="0.25">
      <c r="AD41" s="7">
        <f t="shared" si="3"/>
        <v>0</v>
      </c>
    </row>
    <row r="42" spans="17:30" x14ac:dyDescent="0.25">
      <c r="AD42" s="7">
        <f t="shared" si="3"/>
        <v>0</v>
      </c>
    </row>
    <row r="43" spans="17:30" x14ac:dyDescent="0.25">
      <c r="AD43" s="7">
        <f t="shared" si="3"/>
        <v>0</v>
      </c>
    </row>
    <row r="44" spans="17:30" x14ac:dyDescent="0.25">
      <c r="AD44" s="7">
        <f t="shared" si="3"/>
        <v>0</v>
      </c>
    </row>
    <row r="45" spans="17:30" x14ac:dyDescent="0.25">
      <c r="AD45" s="7">
        <f t="shared" si="3"/>
        <v>0</v>
      </c>
    </row>
    <row r="46" spans="17:30" x14ac:dyDescent="0.25">
      <c r="AD46" s="7">
        <f t="shared" si="3"/>
        <v>0</v>
      </c>
    </row>
    <row r="47" spans="17:30" x14ac:dyDescent="0.25">
      <c r="AD47" s="7">
        <f t="shared" si="3"/>
        <v>0</v>
      </c>
    </row>
    <row r="48" spans="17:30" x14ac:dyDescent="0.25">
      <c r="AD48" s="7">
        <f t="shared" si="3"/>
        <v>0</v>
      </c>
    </row>
    <row r="49" spans="30:30" x14ac:dyDescent="0.25">
      <c r="AD49" s="7">
        <f t="shared" si="3"/>
        <v>0</v>
      </c>
    </row>
    <row r="50" spans="30:30" x14ac:dyDescent="0.25">
      <c r="AD50" s="7">
        <f t="shared" si="3"/>
        <v>0</v>
      </c>
    </row>
    <row r="51" spans="30:30" x14ac:dyDescent="0.25">
      <c r="AD51" s="7">
        <f t="shared" si="3"/>
        <v>0</v>
      </c>
    </row>
  </sheetData>
  <mergeCells count="4">
    <mergeCell ref="A2:A3"/>
    <mergeCell ref="A4:A5"/>
    <mergeCell ref="A6:A7"/>
    <mergeCell ref="A9:A10"/>
  </mergeCells>
  <phoneticPr fontId="2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117CE-D468-4026-AE2C-4D3DA589EFE5}">
  <sheetPr codeName="Sheet_KQ">
    <tabColor theme="4" tint="0.59999389629810485"/>
  </sheetPr>
  <dimension ref="A1:CG113"/>
  <sheetViews>
    <sheetView workbookViewId="0">
      <pane ySplit="1" topLeftCell="A2" activePane="bottomLeft" state="frozen"/>
      <selection pane="bottomLeft" activeCell="F21" sqref="F21"/>
    </sheetView>
  </sheetViews>
  <sheetFormatPr defaultColWidth="8.85546875" defaultRowHeight="15" x14ac:dyDescent="0.25"/>
  <cols>
    <col min="1" max="6" width="11.140625" style="7" customWidth="1"/>
    <col min="7" max="9" width="8.85546875" style="7"/>
    <col min="10" max="11" width="1.7109375" style="7" customWidth="1"/>
    <col min="12" max="17" width="8.85546875" style="7"/>
    <col min="18" max="18" width="10.140625" style="7" bestFit="1" customWidth="1"/>
    <col min="19" max="20" width="8.85546875" style="7"/>
    <col min="21" max="22" width="1.7109375" style="7" customWidth="1"/>
    <col min="23" max="23" width="10.7109375" style="7" customWidth="1"/>
    <col min="24" max="25" width="10.140625" style="7" customWidth="1"/>
    <col min="26" max="31" width="8.85546875" style="7"/>
    <col min="32" max="33" width="1.7109375" style="7" customWidth="1"/>
    <col min="34" max="37" width="12" style="7" customWidth="1"/>
    <col min="38" max="41" width="11.7109375" style="7" customWidth="1"/>
    <col min="42" max="45" width="8.85546875" style="7"/>
    <col min="46" max="47" width="1.7109375" style="7" customWidth="1"/>
    <col min="48" max="51" width="8.85546875" style="7"/>
    <col min="52" max="52" width="10.85546875" style="7" customWidth="1"/>
    <col min="53" max="57" width="8.85546875" style="7"/>
    <col min="58" max="58" width="10.85546875" style="7" customWidth="1"/>
    <col min="59" max="66" width="8.85546875" style="7"/>
    <col min="67" max="68" width="1.7109375" style="7" customWidth="1"/>
    <col min="69" max="69" width="12.42578125" style="7" customWidth="1"/>
    <col min="70" max="83" width="8.85546875" style="7"/>
    <col min="84" max="85" width="1.7109375" style="7" customWidth="1"/>
    <col min="86" max="16384" width="8.85546875" style="7"/>
  </cols>
  <sheetData>
    <row r="1" spans="1:85" ht="24" customHeight="1" x14ac:dyDescent="0.25">
      <c r="A1" s="142" t="s">
        <v>73</v>
      </c>
      <c r="B1" s="141"/>
      <c r="C1" s="141"/>
      <c r="D1" s="141"/>
      <c r="E1" s="141"/>
      <c r="F1" s="141"/>
      <c r="G1" s="141"/>
      <c r="H1" s="141"/>
      <c r="I1" s="141"/>
      <c r="K1" s="143"/>
      <c r="L1" s="142" t="s">
        <v>101</v>
      </c>
      <c r="M1" s="141"/>
      <c r="N1" s="141"/>
      <c r="O1" s="141"/>
      <c r="P1" s="141"/>
      <c r="Q1" s="141"/>
      <c r="R1" s="141"/>
      <c r="S1" s="141"/>
      <c r="T1" s="141"/>
      <c r="U1" s="272"/>
      <c r="V1" s="143"/>
      <c r="W1" s="142" t="s">
        <v>102</v>
      </c>
      <c r="X1" s="141"/>
      <c r="Y1" s="141"/>
      <c r="Z1" s="141"/>
      <c r="AA1" s="141"/>
      <c r="AB1" s="141"/>
      <c r="AC1" s="141"/>
      <c r="AD1" s="141"/>
      <c r="AE1" s="141"/>
      <c r="AF1" s="272"/>
      <c r="AG1" s="143"/>
      <c r="AH1" s="142" t="s">
        <v>103</v>
      </c>
      <c r="AI1" s="141"/>
      <c r="AJ1" s="141"/>
      <c r="AK1" s="141"/>
      <c r="AL1" s="141"/>
      <c r="AM1" s="141"/>
      <c r="AN1" s="141"/>
      <c r="AO1" s="141"/>
      <c r="AP1" s="141"/>
      <c r="AQ1" s="141"/>
      <c r="AR1" s="141"/>
      <c r="AS1" s="141"/>
      <c r="AT1" s="272"/>
      <c r="AU1" s="143"/>
      <c r="AV1" s="142" t="s">
        <v>104</v>
      </c>
      <c r="AW1" s="141"/>
      <c r="AX1" s="141"/>
      <c r="AY1" s="141"/>
      <c r="AZ1" s="141"/>
      <c r="BA1" s="141"/>
      <c r="BB1" s="141"/>
      <c r="BC1" s="141"/>
      <c r="BD1" s="141"/>
      <c r="BE1" s="141"/>
      <c r="BF1" s="141"/>
      <c r="BG1" s="141"/>
      <c r="BH1" s="141"/>
      <c r="BI1" s="141"/>
      <c r="BJ1" s="141"/>
      <c r="BK1" s="141"/>
      <c r="BL1" s="141"/>
      <c r="BM1" s="141"/>
      <c r="BN1" s="141"/>
      <c r="BO1" s="272"/>
      <c r="BP1" s="143"/>
      <c r="BQ1" s="142" t="s">
        <v>105</v>
      </c>
      <c r="BR1" s="141"/>
      <c r="BS1" s="141"/>
      <c r="BT1" s="141"/>
      <c r="BU1" s="141"/>
      <c r="BV1" s="141"/>
      <c r="BW1" s="141"/>
      <c r="BX1" s="141"/>
      <c r="BY1" s="141"/>
      <c r="BZ1" s="141"/>
      <c r="CA1" s="141"/>
      <c r="CB1" s="141"/>
      <c r="CC1" s="141"/>
      <c r="CD1" s="141"/>
      <c r="CE1" s="141"/>
      <c r="CF1" s="272"/>
      <c r="CG1" s="143"/>
    </row>
    <row r="2" spans="1:85" ht="15.75" x14ac:dyDescent="0.25">
      <c r="A2" s="6" t="s">
        <v>27</v>
      </c>
      <c r="I2" s="7">
        <f>COUNTA(G4:G6)</f>
        <v>3</v>
      </c>
      <c r="K2" s="143"/>
      <c r="L2" s="6" t="s">
        <v>27</v>
      </c>
      <c r="M2" s="7">
        <f>P2_backup!B34</f>
        <v>0</v>
      </c>
      <c r="T2" s="7">
        <f>COUNTA(R4:T5)</f>
        <v>1</v>
      </c>
      <c r="U2" s="272"/>
      <c r="V2" s="143"/>
      <c r="W2" s="6" t="s">
        <v>27</v>
      </c>
      <c r="X2" s="7">
        <f>P3_backup!B34</f>
        <v>0</v>
      </c>
      <c r="AE2" s="7">
        <f>COUNTA(AD5:AE9)</f>
        <v>10</v>
      </c>
      <c r="AF2" s="272"/>
      <c r="AG2" s="143"/>
      <c r="AH2" s="6" t="s">
        <v>27</v>
      </c>
      <c r="AI2" s="7" t="e">
        <f>'Chấm điểm'!#REF!</f>
        <v>#REF!</v>
      </c>
      <c r="AS2" s="7">
        <f>COUNTA(AP4:AS12)+COUNTA(AS14)</f>
        <v>37</v>
      </c>
      <c r="AT2" s="272"/>
      <c r="AU2" s="143"/>
      <c r="AV2" s="6" t="s">
        <v>27</v>
      </c>
      <c r="BL2" s="7">
        <f>COUNTA(BH5:BI18)</f>
        <v>28</v>
      </c>
      <c r="BO2" s="272"/>
      <c r="BP2" s="143"/>
      <c r="BQ2" s="6" t="s">
        <v>27</v>
      </c>
      <c r="CE2" s="7">
        <f>COUNTA(CB4:CB6)</f>
        <v>3</v>
      </c>
      <c r="CF2" s="272"/>
      <c r="CG2" s="143"/>
    </row>
    <row r="3" spans="1:85" ht="15.75" x14ac:dyDescent="0.25">
      <c r="A3" s="8" t="s">
        <v>28</v>
      </c>
      <c r="D3" s="11" t="s">
        <v>29</v>
      </c>
      <c r="G3" s="17" t="s">
        <v>30</v>
      </c>
      <c r="K3" s="143"/>
      <c r="L3" s="8" t="s">
        <v>28</v>
      </c>
      <c r="O3" s="11" t="s">
        <v>29</v>
      </c>
      <c r="R3" s="17" t="s">
        <v>30</v>
      </c>
      <c r="U3" s="272"/>
      <c r="V3" s="143"/>
      <c r="W3"/>
      <c r="X3" s="367" t="s">
        <v>28</v>
      </c>
      <c r="Y3" s="368"/>
      <c r="Z3"/>
      <c r="AA3" s="369" t="s">
        <v>29</v>
      </c>
      <c r="AB3" s="370"/>
      <c r="AD3" s="365" t="s">
        <v>30</v>
      </c>
      <c r="AE3" s="366"/>
      <c r="AF3" s="272"/>
      <c r="AG3" s="143"/>
      <c r="AH3" s="367" t="s">
        <v>28</v>
      </c>
      <c r="AI3" s="361"/>
      <c r="AJ3" s="361"/>
      <c r="AK3" s="368"/>
      <c r="AL3" s="369" t="s">
        <v>29</v>
      </c>
      <c r="AM3" s="372"/>
      <c r="AN3" s="372"/>
      <c r="AO3" s="370"/>
      <c r="AP3" s="365" t="s">
        <v>30</v>
      </c>
      <c r="AQ3" s="366"/>
      <c r="AR3" s="366"/>
      <c r="AS3" s="366"/>
      <c r="AT3" s="272"/>
      <c r="AU3" s="143"/>
      <c r="AV3" s="362" t="s">
        <v>28</v>
      </c>
      <c r="AW3" s="363"/>
      <c r="BB3" s="359" t="s">
        <v>29</v>
      </c>
      <c r="BC3" s="359"/>
      <c r="BH3" s="360" t="s">
        <v>30</v>
      </c>
      <c r="BI3" s="360"/>
      <c r="BO3" s="272"/>
      <c r="BP3" s="143"/>
      <c r="BR3" s="283" t="s">
        <v>28</v>
      </c>
      <c r="BW3" s="282" t="s">
        <v>29</v>
      </c>
      <c r="CB3" s="281" t="s">
        <v>30</v>
      </c>
      <c r="CF3" s="272"/>
      <c r="CG3" s="143"/>
    </row>
    <row r="4" spans="1:85" x14ac:dyDescent="0.25">
      <c r="A4" s="273">
        <v>2</v>
      </c>
      <c r="D4" s="10" cm="1">
        <f t="array" ref="D4">IFERROR(COUNTBLANK(Date),0)</f>
        <v>0</v>
      </c>
      <c r="G4" s="274" t="b">
        <f>EXACT(A4,D4)</f>
        <v>0</v>
      </c>
      <c r="K4" s="143"/>
      <c r="L4" s="276" t="s">
        <v>193</v>
      </c>
      <c r="M4" s="7" t="s">
        <v>39</v>
      </c>
      <c r="O4" s="10"/>
      <c r="R4" s="274" t="b">
        <f>OR(O4=L4,O4=L5)</f>
        <v>0</v>
      </c>
      <c r="U4" s="272"/>
      <c r="V4" s="143"/>
      <c r="W4" s="290" t="s">
        <v>202</v>
      </c>
      <c r="X4" s="266" t="s">
        <v>200</v>
      </c>
      <c r="Y4" s="266" t="s">
        <v>203</v>
      </c>
      <c r="Z4" s="73"/>
      <c r="AA4" s="268" t="s">
        <v>200</v>
      </c>
      <c r="AB4" s="268" t="s">
        <v>203</v>
      </c>
      <c r="AD4" s="269" t="s">
        <v>200</v>
      </c>
      <c r="AE4" s="270" t="s">
        <v>203</v>
      </c>
      <c r="AF4" s="272"/>
      <c r="AG4" s="143"/>
      <c r="AH4" s="265" t="s">
        <v>10</v>
      </c>
      <c r="AI4" s="266" t="s">
        <v>215</v>
      </c>
      <c r="AJ4" s="266" t="s">
        <v>216</v>
      </c>
      <c r="AK4" s="266" t="s">
        <v>217</v>
      </c>
      <c r="AL4" s="267"/>
      <c r="AM4" s="268"/>
      <c r="AN4" s="268"/>
      <c r="AO4" s="268"/>
      <c r="AP4" s="275" t="b">
        <f>AH4=AL4</f>
        <v>0</v>
      </c>
      <c r="AQ4" s="275" t="b">
        <f t="shared" ref="AQ4:AS12" si="0">AI4=AM4</f>
        <v>0</v>
      </c>
      <c r="AR4" s="275" t="b">
        <f t="shared" si="0"/>
        <v>0</v>
      </c>
      <c r="AS4" s="275" t="b">
        <f t="shared" si="0"/>
        <v>0</v>
      </c>
      <c r="AT4" s="272"/>
      <c r="AU4" s="143"/>
      <c r="AV4" s="280" t="s">
        <v>41</v>
      </c>
      <c r="AW4" s="280" t="s">
        <v>29</v>
      </c>
      <c r="BB4" s="280" t="s">
        <v>41</v>
      </c>
      <c r="BC4" s="280" t="s">
        <v>29</v>
      </c>
      <c r="BH4" s="280" t="s">
        <v>41</v>
      </c>
      <c r="BI4" s="280" t="s">
        <v>29</v>
      </c>
      <c r="BO4" s="272"/>
      <c r="BP4" s="143"/>
      <c r="BQ4" s="7" t="s">
        <v>269</v>
      </c>
      <c r="BR4" s="266" t="b">
        <v>1</v>
      </c>
      <c r="BW4" s="268"/>
      <c r="CB4" s="270" t="b">
        <f>BR4=BW4</f>
        <v>0</v>
      </c>
      <c r="CF4" s="272"/>
      <c r="CG4" s="143"/>
    </row>
    <row r="5" spans="1:85" x14ac:dyDescent="0.25">
      <c r="A5" s="273" t="b">
        <v>1</v>
      </c>
      <c r="D5" s="10"/>
      <c r="G5" s="274" t="b">
        <f>EXACT(A5,D5)</f>
        <v>0</v>
      </c>
      <c r="K5" s="143"/>
      <c r="L5" s="276" t="s">
        <v>691</v>
      </c>
      <c r="M5" s="7" t="s">
        <v>39</v>
      </c>
      <c r="O5"/>
      <c r="R5"/>
      <c r="U5" s="272"/>
      <c r="V5" s="143"/>
      <c r="W5" s="291" t="s">
        <v>199</v>
      </c>
      <c r="X5" s="273" t="b">
        <v>1</v>
      </c>
      <c r="Y5" s="273" t="b">
        <v>1</v>
      </c>
      <c r="Z5"/>
      <c r="AA5" s="10"/>
      <c r="AB5" s="10"/>
      <c r="AD5" s="274" t="b">
        <f t="shared" ref="AD5:AE9" si="1">X5=AA5</f>
        <v>0</v>
      </c>
      <c r="AE5" s="274" t="b">
        <f t="shared" si="1"/>
        <v>0</v>
      </c>
      <c r="AF5" s="272"/>
      <c r="AG5" s="143"/>
      <c r="AH5" s="273" t="s">
        <v>698</v>
      </c>
      <c r="AI5" s="273" t="s">
        <v>699</v>
      </c>
      <c r="AJ5" s="273" t="s">
        <v>700</v>
      </c>
      <c r="AK5" s="273" t="s">
        <v>701</v>
      </c>
      <c r="AL5" s="10"/>
      <c r="AM5" s="10"/>
      <c r="AN5" s="10"/>
      <c r="AO5" s="10"/>
      <c r="AP5" s="275" t="b">
        <f t="shared" ref="AP5:AP12" si="2">AH5=AL5</f>
        <v>0</v>
      </c>
      <c r="AQ5" s="275" t="b">
        <f t="shared" si="0"/>
        <v>0</v>
      </c>
      <c r="AR5" s="275" t="b">
        <f t="shared" si="0"/>
        <v>0</v>
      </c>
      <c r="AS5" s="275" t="b">
        <f t="shared" si="0"/>
        <v>0</v>
      </c>
      <c r="AT5" s="272"/>
      <c r="AU5" s="143"/>
      <c r="AV5" s="273" t="s">
        <v>719</v>
      </c>
      <c r="AW5" s="273">
        <v>229.8</v>
      </c>
      <c r="BB5" s="10"/>
      <c r="BC5" s="10"/>
      <c r="BH5" s="274" t="b">
        <f t="shared" ref="BH5:BH18" si="3">EXACT(AV5,BB5)</f>
        <v>0</v>
      </c>
      <c r="BI5" s="274" t="b">
        <f t="shared" ref="BI5:BI18" si="4">EXACT(AW5,BC5)</f>
        <v>0</v>
      </c>
      <c r="BO5" s="272"/>
      <c r="BP5" s="143"/>
      <c r="BQ5" s="7" t="s">
        <v>270</v>
      </c>
      <c r="BR5" s="273">
        <v>3</v>
      </c>
      <c r="BW5" s="268"/>
      <c r="CB5" s="270" t="b">
        <f t="shared" ref="CB5:CB6" si="5">BR5=BW5</f>
        <v>0</v>
      </c>
      <c r="CF5" s="272"/>
      <c r="CG5" s="143"/>
    </row>
    <row r="6" spans="1:85" x14ac:dyDescent="0.25">
      <c r="A6" s="273" t="s">
        <v>675</v>
      </c>
      <c r="D6" s="10"/>
      <c r="G6" s="274" t="b">
        <f>EXACT(A6,D6)</f>
        <v>0</v>
      </c>
      <c r="K6" s="143"/>
      <c r="U6" s="272"/>
      <c r="V6" s="143"/>
      <c r="W6" s="9" t="s">
        <v>201</v>
      </c>
      <c r="X6" s="273" t="b">
        <v>0</v>
      </c>
      <c r="Y6" s="273" t="b">
        <v>1</v>
      </c>
      <c r="Z6"/>
      <c r="AA6" s="10"/>
      <c r="AB6" s="10"/>
      <c r="AD6" s="274" t="b">
        <f t="shared" si="1"/>
        <v>1</v>
      </c>
      <c r="AE6" s="274" t="b">
        <f t="shared" si="1"/>
        <v>0</v>
      </c>
      <c r="AF6" s="272"/>
      <c r="AG6" s="143"/>
      <c r="AH6" s="273" t="s">
        <v>702</v>
      </c>
      <c r="AI6" s="273" t="s">
        <v>329</v>
      </c>
      <c r="AJ6" s="273" t="s">
        <v>703</v>
      </c>
      <c r="AK6" s="273" t="s">
        <v>704</v>
      </c>
      <c r="AL6" s="10"/>
      <c r="AM6" s="10"/>
      <c r="AN6" s="10"/>
      <c r="AO6" s="10"/>
      <c r="AP6" s="275" t="b">
        <f t="shared" si="2"/>
        <v>0</v>
      </c>
      <c r="AQ6" s="275" t="b">
        <f t="shared" si="0"/>
        <v>0</v>
      </c>
      <c r="AR6" s="275" t="b">
        <f t="shared" si="0"/>
        <v>0</v>
      </c>
      <c r="AS6" s="275" t="b">
        <f t="shared" si="0"/>
        <v>0</v>
      </c>
      <c r="AT6" s="272"/>
      <c r="AU6" s="143"/>
      <c r="AV6" s="273" t="s">
        <v>719</v>
      </c>
      <c r="AW6" s="273">
        <v>188.3</v>
      </c>
      <c r="BB6" s="10"/>
      <c r="BC6" s="10"/>
      <c r="BH6" s="274" t="b">
        <f t="shared" si="3"/>
        <v>0</v>
      </c>
      <c r="BI6" s="274" t="b">
        <f t="shared" si="4"/>
        <v>0</v>
      </c>
      <c r="BO6" s="272"/>
      <c r="BP6" s="143"/>
      <c r="BQ6" s="7" t="s">
        <v>271</v>
      </c>
      <c r="BR6" s="273">
        <v>0</v>
      </c>
      <c r="BW6" s="268"/>
      <c r="CB6" s="270" t="b">
        <f t="shared" si="5"/>
        <v>1</v>
      </c>
      <c r="CF6" s="272"/>
      <c r="CG6" s="143"/>
    </row>
    <row r="7" spans="1:85" x14ac:dyDescent="0.25">
      <c r="A7"/>
      <c r="K7" s="143"/>
      <c r="U7" s="272"/>
      <c r="V7" s="143"/>
      <c r="W7" s="9" t="s">
        <v>197</v>
      </c>
      <c r="X7" s="273">
        <v>20</v>
      </c>
      <c r="Y7" s="273">
        <v>11</v>
      </c>
      <c r="Z7"/>
      <c r="AA7" s="10"/>
      <c r="AB7" s="10"/>
      <c r="AD7" s="274" t="b">
        <f t="shared" si="1"/>
        <v>0</v>
      </c>
      <c r="AE7" s="274" t="b">
        <f t="shared" si="1"/>
        <v>0</v>
      </c>
      <c r="AF7" s="272"/>
      <c r="AG7" s="143"/>
      <c r="AH7" s="273" t="s">
        <v>705</v>
      </c>
      <c r="AI7" s="273" t="s">
        <v>706</v>
      </c>
      <c r="AJ7" s="273" t="s">
        <v>700</v>
      </c>
      <c r="AK7" s="273" t="s">
        <v>701</v>
      </c>
      <c r="AL7" s="10"/>
      <c r="AM7" s="10"/>
      <c r="AN7" s="10"/>
      <c r="AO7" s="10"/>
      <c r="AP7" s="275" t="b">
        <f t="shared" si="2"/>
        <v>0</v>
      </c>
      <c r="AQ7" s="275" t="b">
        <f t="shared" si="0"/>
        <v>0</v>
      </c>
      <c r="AR7" s="275" t="b">
        <f t="shared" si="0"/>
        <v>0</v>
      </c>
      <c r="AS7" s="275" t="b">
        <f t="shared" si="0"/>
        <v>0</v>
      </c>
      <c r="AT7" s="272"/>
      <c r="AU7" s="143"/>
      <c r="AV7" s="273" t="s">
        <v>719</v>
      </c>
      <c r="AW7" s="273">
        <v>228.60000000000002</v>
      </c>
      <c r="BB7" s="10"/>
      <c r="BC7" s="10"/>
      <c r="BH7" s="274" t="b">
        <f t="shared" si="3"/>
        <v>0</v>
      </c>
      <c r="BI7" s="274" t="b">
        <f t="shared" si="4"/>
        <v>0</v>
      </c>
      <c r="BO7" s="272"/>
      <c r="BP7" s="143"/>
      <c r="CF7" s="272"/>
      <c r="CG7" s="143"/>
    </row>
    <row r="8" spans="1:85" ht="15.75" x14ac:dyDescent="0.25">
      <c r="A8" s="6" t="s">
        <v>31</v>
      </c>
      <c r="I8" s="7">
        <f>COUNTA(G10:I15)</f>
        <v>18</v>
      </c>
      <c r="K8" s="143"/>
      <c r="U8" s="272"/>
      <c r="V8" s="143"/>
      <c r="W8" s="9" t="s">
        <v>198</v>
      </c>
      <c r="X8" s="273">
        <v>5</v>
      </c>
      <c r="Y8" s="273">
        <v>5</v>
      </c>
      <c r="Z8"/>
      <c r="AA8" s="10"/>
      <c r="AB8" s="10"/>
      <c r="AD8" s="274" t="b">
        <f t="shared" si="1"/>
        <v>0</v>
      </c>
      <c r="AE8" s="274" t="b">
        <f t="shared" si="1"/>
        <v>0</v>
      </c>
      <c r="AF8" s="272"/>
      <c r="AG8" s="143"/>
      <c r="AH8" s="273" t="s">
        <v>707</v>
      </c>
      <c r="AI8" s="273" t="s">
        <v>708</v>
      </c>
      <c r="AJ8" s="273" t="s">
        <v>703</v>
      </c>
      <c r="AK8" s="273" t="s">
        <v>704</v>
      </c>
      <c r="AL8" s="10"/>
      <c r="AM8" s="10"/>
      <c r="AN8" s="10"/>
      <c r="AO8" s="10"/>
      <c r="AP8" s="275" t="b">
        <f t="shared" si="2"/>
        <v>0</v>
      </c>
      <c r="AQ8" s="275" t="b">
        <f t="shared" si="0"/>
        <v>0</v>
      </c>
      <c r="AR8" s="275" t="b">
        <f t="shared" si="0"/>
        <v>0</v>
      </c>
      <c r="AS8" s="275" t="b">
        <f t="shared" si="0"/>
        <v>0</v>
      </c>
      <c r="AT8" s="272"/>
      <c r="AU8" s="143"/>
      <c r="AV8" s="273" t="s">
        <v>719</v>
      </c>
      <c r="AW8" s="273">
        <v>54.7</v>
      </c>
      <c r="BB8" s="10"/>
      <c r="BC8" s="10"/>
      <c r="BH8" s="274" t="b">
        <f t="shared" si="3"/>
        <v>0</v>
      </c>
      <c r="BI8" s="274" t="b">
        <f t="shared" si="4"/>
        <v>0</v>
      </c>
      <c r="BO8" s="272"/>
      <c r="BP8" s="143"/>
      <c r="CF8" s="272"/>
      <c r="CG8" s="143"/>
    </row>
    <row r="9" spans="1:85" ht="15.75" x14ac:dyDescent="0.25">
      <c r="A9" s="373" t="s">
        <v>28</v>
      </c>
      <c r="B9" s="374"/>
      <c r="C9" s="375"/>
      <c r="D9" s="359" t="s">
        <v>29</v>
      </c>
      <c r="E9" s="359"/>
      <c r="F9" s="359"/>
      <c r="G9" s="360" t="s">
        <v>30</v>
      </c>
      <c r="H9" s="360"/>
      <c r="I9" s="360"/>
      <c r="K9" s="143"/>
      <c r="U9" s="272"/>
      <c r="V9" s="143"/>
      <c r="W9" s="9" t="s">
        <v>204</v>
      </c>
      <c r="X9" s="273">
        <v>-4131</v>
      </c>
      <c r="Y9" s="273">
        <v>-4131</v>
      </c>
      <c r="Z9"/>
      <c r="AA9" s="10"/>
      <c r="AB9" s="10"/>
      <c r="AD9" s="274" t="b">
        <f t="shared" si="1"/>
        <v>0</v>
      </c>
      <c r="AE9" s="274" t="b">
        <f t="shared" si="1"/>
        <v>0</v>
      </c>
      <c r="AF9" s="272"/>
      <c r="AG9" s="143"/>
      <c r="AH9" s="273" t="s">
        <v>709</v>
      </c>
      <c r="AI9" s="273" t="s">
        <v>710</v>
      </c>
      <c r="AJ9" s="273" t="s">
        <v>703</v>
      </c>
      <c r="AK9" s="273" t="s">
        <v>711</v>
      </c>
      <c r="AL9" s="10"/>
      <c r="AM9" s="10"/>
      <c r="AN9" s="10"/>
      <c r="AO9" s="10"/>
      <c r="AP9" s="275" t="b">
        <f t="shared" si="2"/>
        <v>0</v>
      </c>
      <c r="AQ9" s="275" t="b">
        <f t="shared" si="0"/>
        <v>0</v>
      </c>
      <c r="AR9" s="275" t="b">
        <f t="shared" si="0"/>
        <v>0</v>
      </c>
      <c r="AS9" s="275" t="b">
        <f t="shared" si="0"/>
        <v>0</v>
      </c>
      <c r="AT9" s="272"/>
      <c r="AU9" s="143"/>
      <c r="AV9" s="273" t="s">
        <v>719</v>
      </c>
      <c r="AW9" s="273">
        <v>124.10000000000001</v>
      </c>
      <c r="BB9" s="10"/>
      <c r="BC9" s="10"/>
      <c r="BH9" s="274" t="b">
        <f t="shared" si="3"/>
        <v>0</v>
      </c>
      <c r="BI9" s="274" t="b">
        <f t="shared" si="4"/>
        <v>0</v>
      </c>
      <c r="BO9" s="272"/>
      <c r="BP9" s="143"/>
      <c r="CF9" s="272"/>
      <c r="CG9" s="143"/>
    </row>
    <row r="10" spans="1:85" ht="15.75" x14ac:dyDescent="0.25">
      <c r="A10" s="273" t="s">
        <v>37</v>
      </c>
      <c r="B10" s="273" t="s">
        <v>37</v>
      </c>
      <c r="C10" s="273" t="s">
        <v>37</v>
      </c>
      <c r="D10" s="10"/>
      <c r="E10" s="10"/>
      <c r="F10" s="10"/>
      <c r="G10" s="274" t="b">
        <f>OR(EXACT(A10,D10),EXACT(A17,D10))</f>
        <v>0</v>
      </c>
      <c r="H10" s="274" t="b">
        <f t="shared" ref="H10:I15" si="6">OR(EXACT(B10,E10),EXACT(B17,E10))</f>
        <v>0</v>
      </c>
      <c r="I10" s="274" t="b">
        <f t="shared" si="6"/>
        <v>0</v>
      </c>
      <c r="K10" s="143"/>
      <c r="L10" s="6" t="s">
        <v>31</v>
      </c>
      <c r="M10" s="7">
        <f>P2_backup!B35</f>
        <v>0</v>
      </c>
      <c r="T10" s="7">
        <f>COUNTA(R12:T13)</f>
        <v>1</v>
      </c>
      <c r="U10" s="272"/>
      <c r="V10" s="143"/>
      <c r="AF10" s="272"/>
      <c r="AG10" s="143"/>
      <c r="AH10" s="273" t="s">
        <v>712</v>
      </c>
      <c r="AI10" s="273" t="s">
        <v>713</v>
      </c>
      <c r="AJ10" s="273" t="s">
        <v>703</v>
      </c>
      <c r="AK10" s="273" t="s">
        <v>701</v>
      </c>
      <c r="AL10" s="10"/>
      <c r="AM10" s="10"/>
      <c r="AN10" s="10"/>
      <c r="AO10" s="10"/>
      <c r="AP10" s="275" t="b">
        <f t="shared" si="2"/>
        <v>0</v>
      </c>
      <c r="AQ10" s="275" t="b">
        <f t="shared" si="0"/>
        <v>0</v>
      </c>
      <c r="AR10" s="275" t="b">
        <f t="shared" si="0"/>
        <v>0</v>
      </c>
      <c r="AS10" s="275" t="b">
        <f t="shared" si="0"/>
        <v>0</v>
      </c>
      <c r="AT10" s="272"/>
      <c r="AU10" s="143"/>
      <c r="AV10" s="273" t="s">
        <v>719</v>
      </c>
      <c r="AW10" s="273">
        <v>61.2</v>
      </c>
      <c r="BB10" s="10"/>
      <c r="BC10" s="10"/>
      <c r="BH10" s="274" t="b">
        <f t="shared" si="3"/>
        <v>0</v>
      </c>
      <c r="BI10" s="274" t="b">
        <f t="shared" si="4"/>
        <v>0</v>
      </c>
      <c r="BO10" s="272"/>
      <c r="BP10" s="143"/>
      <c r="BQ10" s="6" t="s">
        <v>31</v>
      </c>
      <c r="CE10" s="7">
        <f>COUNTA(CB12:CB14)</f>
        <v>3</v>
      </c>
      <c r="CF10" s="272"/>
      <c r="CG10" s="143"/>
    </row>
    <row r="11" spans="1:85" ht="15.75" x14ac:dyDescent="0.25">
      <c r="A11" s="273" t="s">
        <v>37</v>
      </c>
      <c r="B11" s="273" t="s">
        <v>37</v>
      </c>
      <c r="C11" s="273" t="s">
        <v>37</v>
      </c>
      <c r="D11" s="10"/>
      <c r="E11" s="10"/>
      <c r="F11" s="10"/>
      <c r="G11" s="274" t="b">
        <f t="shared" ref="G11:G15" si="7">OR(EXACT(A11,D11),EXACT(A18,D11))</f>
        <v>0</v>
      </c>
      <c r="H11" s="274" t="b">
        <f t="shared" si="6"/>
        <v>0</v>
      </c>
      <c r="I11" s="274" t="b">
        <f t="shared" si="6"/>
        <v>0</v>
      </c>
      <c r="K11" s="143"/>
      <c r="L11" s="8" t="s">
        <v>28</v>
      </c>
      <c r="O11" s="11" t="s">
        <v>29</v>
      </c>
      <c r="R11" s="17" t="s">
        <v>30</v>
      </c>
      <c r="U11" s="272"/>
      <c r="V11" s="143"/>
      <c r="AF11" s="272"/>
      <c r="AG11" s="143"/>
      <c r="AH11" s="273" t="s">
        <v>714</v>
      </c>
      <c r="AI11" s="273" t="s">
        <v>328</v>
      </c>
      <c r="AJ11" s="273" t="s">
        <v>700</v>
      </c>
      <c r="AK11" s="273" t="s">
        <v>711</v>
      </c>
      <c r="AL11" s="10"/>
      <c r="AM11" s="10"/>
      <c r="AN11" s="10"/>
      <c r="AO11" s="10"/>
      <c r="AP11" s="275" t="b">
        <f t="shared" si="2"/>
        <v>0</v>
      </c>
      <c r="AQ11" s="275" t="b">
        <f t="shared" si="0"/>
        <v>0</v>
      </c>
      <c r="AR11" s="275" t="b">
        <f t="shared" si="0"/>
        <v>0</v>
      </c>
      <c r="AS11" s="275" t="b">
        <f t="shared" si="0"/>
        <v>0</v>
      </c>
      <c r="AT11" s="272"/>
      <c r="AU11" s="143"/>
      <c r="AV11" s="273" t="s">
        <v>719</v>
      </c>
      <c r="AW11" s="273">
        <v>108.30000000000001</v>
      </c>
      <c r="BB11" s="10"/>
      <c r="BC11" s="10"/>
      <c r="BH11" s="274" t="b">
        <f t="shared" si="3"/>
        <v>0</v>
      </c>
      <c r="BI11" s="274" t="b">
        <f t="shared" si="4"/>
        <v>0</v>
      </c>
      <c r="BO11" s="272"/>
      <c r="BP11" s="143"/>
      <c r="BR11" s="283" t="s">
        <v>28</v>
      </c>
      <c r="BS11"/>
      <c r="BT11"/>
      <c r="BW11" s="282" t="s">
        <v>29</v>
      </c>
      <c r="BX11"/>
      <c r="BY11"/>
      <c r="CB11" s="281" t="s">
        <v>30</v>
      </c>
      <c r="CC11"/>
      <c r="CD11"/>
      <c r="CF11" s="272"/>
      <c r="CG11" s="143"/>
    </row>
    <row r="12" spans="1:85" ht="15.75" x14ac:dyDescent="0.25">
      <c r="A12" s="273" t="s">
        <v>37</v>
      </c>
      <c r="B12" s="273" t="s">
        <v>37</v>
      </c>
      <c r="C12" s="273" t="s">
        <v>37</v>
      </c>
      <c r="D12" s="10"/>
      <c r="E12" s="10"/>
      <c r="F12" s="10"/>
      <c r="G12" s="274" t="b">
        <f t="shared" si="7"/>
        <v>0</v>
      </c>
      <c r="H12" s="274" t="b">
        <f t="shared" si="6"/>
        <v>0</v>
      </c>
      <c r="I12" s="274" t="b">
        <f t="shared" si="6"/>
        <v>0</v>
      </c>
      <c r="K12" s="143"/>
      <c r="L12" s="276" t="s">
        <v>78</v>
      </c>
      <c r="O12" s="10"/>
      <c r="R12" s="274" t="b">
        <f>IF(OR(O12="-",O12=""),FALSE,RIGHT(O12,LEN(O12)-2)=L12)</f>
        <v>0</v>
      </c>
      <c r="U12" s="272"/>
      <c r="V12" s="143"/>
      <c r="W12" s="6" t="s">
        <v>31</v>
      </c>
      <c r="X12" s="7">
        <f>P3_backup!B35</f>
        <v>0</v>
      </c>
      <c r="AE12" s="7">
        <f>COUNTA(AC14:AE16)</f>
        <v>1</v>
      </c>
      <c r="AF12" s="272"/>
      <c r="AG12" s="143"/>
      <c r="AH12" s="273" t="s">
        <v>715</v>
      </c>
      <c r="AI12" s="273" t="s">
        <v>333</v>
      </c>
      <c r="AJ12" s="273" t="s">
        <v>700</v>
      </c>
      <c r="AK12" s="273" t="s">
        <v>711</v>
      </c>
      <c r="AL12" s="10"/>
      <c r="AM12" s="10"/>
      <c r="AN12" s="10"/>
      <c r="AO12" s="10"/>
      <c r="AP12" s="275" t="b">
        <f t="shared" si="2"/>
        <v>0</v>
      </c>
      <c r="AQ12" s="275" t="b">
        <f t="shared" si="0"/>
        <v>0</v>
      </c>
      <c r="AR12" s="275" t="b">
        <f t="shared" si="0"/>
        <v>0</v>
      </c>
      <c r="AS12" s="275" t="b">
        <f t="shared" si="0"/>
        <v>0</v>
      </c>
      <c r="AT12" s="272"/>
      <c r="AU12" s="143"/>
      <c r="AV12" s="273" t="s">
        <v>719</v>
      </c>
      <c r="AW12" s="273">
        <v>103.60000000000001</v>
      </c>
      <c r="BB12" s="10"/>
      <c r="BC12" s="10"/>
      <c r="BH12" s="274" t="b">
        <f t="shared" si="3"/>
        <v>0</v>
      </c>
      <c r="BI12" s="274" t="b">
        <f t="shared" si="4"/>
        <v>0</v>
      </c>
      <c r="BO12" s="272"/>
      <c r="BP12" s="143"/>
      <c r="BQ12" s="7" t="s">
        <v>224</v>
      </c>
      <c r="BR12" s="273">
        <v>4</v>
      </c>
      <c r="BS12"/>
      <c r="BT12"/>
      <c r="BW12" s="10"/>
      <c r="BX12"/>
      <c r="BY12"/>
      <c r="CB12" s="274" t="b">
        <f>BR12=BW12</f>
        <v>0</v>
      </c>
      <c r="CC12"/>
      <c r="CD12"/>
      <c r="CF12" s="272"/>
      <c r="CG12" s="143"/>
    </row>
    <row r="13" spans="1:85" ht="15.75" x14ac:dyDescent="0.25">
      <c r="A13" s="273" t="s">
        <v>37</v>
      </c>
      <c r="B13" s="273" t="s">
        <v>37</v>
      </c>
      <c r="C13" s="273" t="s">
        <v>37</v>
      </c>
      <c r="D13" s="10"/>
      <c r="E13" s="10"/>
      <c r="F13" s="10"/>
      <c r="G13" s="274" t="b">
        <f t="shared" si="7"/>
        <v>0</v>
      </c>
      <c r="H13" s="274" t="b">
        <f t="shared" si="6"/>
        <v>0</v>
      </c>
      <c r="I13" s="274" t="b">
        <f t="shared" si="6"/>
        <v>0</v>
      </c>
      <c r="K13" s="143"/>
      <c r="U13" s="272"/>
      <c r="V13" s="143"/>
      <c r="W13" s="8" t="s">
        <v>28</v>
      </c>
      <c r="Z13" s="11" t="s">
        <v>29</v>
      </c>
      <c r="AC13" s="17" t="s">
        <v>30</v>
      </c>
      <c r="AF13" s="272"/>
      <c r="AG13" s="143"/>
      <c r="AT13" s="272"/>
      <c r="AU13" s="143"/>
      <c r="AV13" s="273" t="s">
        <v>719</v>
      </c>
      <c r="AW13" s="273">
        <v>865.6</v>
      </c>
      <c r="BB13" s="10"/>
      <c r="BC13" s="10"/>
      <c r="BH13" s="274" t="b">
        <f t="shared" si="3"/>
        <v>0</v>
      </c>
      <c r="BI13" s="274" t="b">
        <f t="shared" si="4"/>
        <v>0</v>
      </c>
      <c r="BO13" s="272"/>
      <c r="BP13" s="143"/>
      <c r="BQ13" s="7" t="s">
        <v>272</v>
      </c>
      <c r="BR13" s="273" t="s">
        <v>721</v>
      </c>
      <c r="BW13" s="10"/>
      <c r="BX13"/>
      <c r="BY13"/>
      <c r="CB13" s="274" t="b">
        <f t="shared" ref="CB13:CB14" si="8">BR13=BW13</f>
        <v>0</v>
      </c>
      <c r="CC13"/>
      <c r="CD13"/>
      <c r="CF13" s="272"/>
      <c r="CG13" s="143"/>
    </row>
    <row r="14" spans="1:85" x14ac:dyDescent="0.25">
      <c r="A14" s="273" t="s">
        <v>37</v>
      </c>
      <c r="B14" s="273" t="s">
        <v>37</v>
      </c>
      <c r="C14" s="273" t="s">
        <v>37</v>
      </c>
      <c r="D14" s="10"/>
      <c r="E14" s="10"/>
      <c r="F14" s="10"/>
      <c r="G14" s="274" t="b">
        <f t="shared" si="7"/>
        <v>0</v>
      </c>
      <c r="H14" s="274" t="b">
        <f t="shared" si="6"/>
        <v>0</v>
      </c>
      <c r="I14" s="274" t="b">
        <f t="shared" si="6"/>
        <v>0</v>
      </c>
      <c r="K14" s="143"/>
      <c r="U14" s="272"/>
      <c r="V14" s="143"/>
      <c r="W14" s="276" t="s">
        <v>115</v>
      </c>
      <c r="Z14" s="10"/>
      <c r="AC14" s="274" t="b">
        <f>EXACT(W14,Z14)</f>
        <v>0</v>
      </c>
      <c r="AF14" s="272"/>
      <c r="AG14" s="143"/>
      <c r="AH14" s="7" t="s">
        <v>218</v>
      </c>
      <c r="AI14" s="273" t="s">
        <v>717</v>
      </c>
      <c r="AL14" s="7" t="s">
        <v>218</v>
      </c>
      <c r="AM14" s="10"/>
      <c r="AP14" s="7" t="s">
        <v>219</v>
      </c>
      <c r="AS14" s="274" t="b">
        <f>AI14=AM14</f>
        <v>0</v>
      </c>
      <c r="AT14" s="272"/>
      <c r="AU14" s="143"/>
      <c r="AV14" s="273" t="s">
        <v>719</v>
      </c>
      <c r="AW14" s="273">
        <v>644.6</v>
      </c>
      <c r="BB14" s="10"/>
      <c r="BC14" s="10"/>
      <c r="BH14" s="274" t="b">
        <f t="shared" si="3"/>
        <v>0</v>
      </c>
      <c r="BI14" s="274" t="b">
        <f t="shared" si="4"/>
        <v>0</v>
      </c>
      <c r="BO14" s="272"/>
      <c r="BP14" s="143"/>
      <c r="BQ14" s="7" t="s">
        <v>273</v>
      </c>
      <c r="BR14" s="273" t="s">
        <v>722</v>
      </c>
      <c r="BW14" s="10"/>
      <c r="CB14" s="274" t="b">
        <f t="shared" si="8"/>
        <v>0</v>
      </c>
      <c r="CF14" s="272"/>
      <c r="CG14" s="143"/>
    </row>
    <row r="15" spans="1:85" x14ac:dyDescent="0.25">
      <c r="A15" s="273" t="s">
        <v>37</v>
      </c>
      <c r="B15" s="273" t="s">
        <v>37</v>
      </c>
      <c r="C15" s="273" t="s">
        <v>37</v>
      </c>
      <c r="D15" s="10"/>
      <c r="E15" s="10"/>
      <c r="F15" s="10"/>
      <c r="G15" s="274" t="b">
        <f t="shared" si="7"/>
        <v>0</v>
      </c>
      <c r="H15" s="274" t="b">
        <f t="shared" si="6"/>
        <v>0</v>
      </c>
      <c r="I15" s="274" t="b">
        <f t="shared" si="6"/>
        <v>0</v>
      </c>
      <c r="K15" s="143"/>
      <c r="U15" s="272"/>
      <c r="V15" s="143"/>
      <c r="AF15" s="272"/>
      <c r="AG15" s="143"/>
      <c r="AT15" s="272"/>
      <c r="AU15" s="143"/>
      <c r="AV15" s="273" t="s">
        <v>719</v>
      </c>
      <c r="AW15" s="273">
        <v>550.30000000000007</v>
      </c>
      <c r="BB15" s="10"/>
      <c r="BC15" s="10"/>
      <c r="BH15" s="274" t="b">
        <f t="shared" si="3"/>
        <v>0</v>
      </c>
      <c r="BI15" s="274" t="b">
        <f t="shared" si="4"/>
        <v>0</v>
      </c>
      <c r="BO15" s="272"/>
      <c r="BP15" s="143"/>
      <c r="BQ15" s="7" t="s">
        <v>114</v>
      </c>
      <c r="CF15" s="272"/>
      <c r="CG15" s="143"/>
    </row>
    <row r="16" spans="1:85" x14ac:dyDescent="0.25">
      <c r="K16" s="143"/>
      <c r="U16" s="272"/>
      <c r="V16" s="143"/>
      <c r="AF16" s="272"/>
      <c r="AG16" s="143"/>
      <c r="AT16" s="272"/>
      <c r="AU16" s="143"/>
      <c r="AV16" s="273" t="s">
        <v>719</v>
      </c>
      <c r="AW16" s="273">
        <v>435.70000000000005</v>
      </c>
      <c r="BB16" s="10"/>
      <c r="BC16" s="10"/>
      <c r="BH16" s="274" t="b">
        <f t="shared" si="3"/>
        <v>0</v>
      </c>
      <c r="BI16" s="274" t="b">
        <f t="shared" si="4"/>
        <v>0</v>
      </c>
      <c r="BO16" s="272"/>
      <c r="BP16" s="143"/>
      <c r="CF16" s="272"/>
      <c r="CG16" s="143"/>
    </row>
    <row r="17" spans="1:85" ht="15.75" x14ac:dyDescent="0.25">
      <c r="A17" s="273" t="s">
        <v>38</v>
      </c>
      <c r="B17" s="273" t="s">
        <v>38</v>
      </c>
      <c r="C17" s="273" t="s">
        <v>38</v>
      </c>
      <c r="D17" s="7" t="s">
        <v>39</v>
      </c>
      <c r="K17" s="143"/>
      <c r="L17" s="6" t="s">
        <v>32</v>
      </c>
      <c r="M17" s="7">
        <f>P2_backup!B36</f>
        <v>0</v>
      </c>
      <c r="T17" s="7">
        <f>COUNTA(R20:T31)</f>
        <v>24</v>
      </c>
      <c r="U17" s="272"/>
      <c r="V17" s="143"/>
      <c r="AF17" s="272"/>
      <c r="AG17" s="143"/>
      <c r="AT17" s="272"/>
      <c r="AU17" s="143"/>
      <c r="AV17" s="273" t="s">
        <v>719</v>
      </c>
      <c r="AW17" s="273">
        <v>438.20000000000005</v>
      </c>
      <c r="BB17" s="10"/>
      <c r="BC17" s="10"/>
      <c r="BH17" s="274" t="b">
        <f t="shared" si="3"/>
        <v>0</v>
      </c>
      <c r="BI17" s="274" t="b">
        <f t="shared" si="4"/>
        <v>0</v>
      </c>
      <c r="BO17" s="272"/>
      <c r="BP17" s="143"/>
      <c r="BR17" s="103" t="s">
        <v>274</v>
      </c>
      <c r="CF17" s="272"/>
      <c r="CG17" s="143"/>
    </row>
    <row r="18" spans="1:85" ht="15.75" x14ac:dyDescent="0.25">
      <c r="A18" s="273" t="s">
        <v>38</v>
      </c>
      <c r="B18" s="273" t="s">
        <v>38</v>
      </c>
      <c r="C18" s="273" t="s">
        <v>38</v>
      </c>
      <c r="D18" s="7" t="s">
        <v>39</v>
      </c>
      <c r="K18" s="143"/>
      <c r="L18" s="371" t="s">
        <v>28</v>
      </c>
      <c r="M18" s="371"/>
      <c r="O18" s="359" t="s">
        <v>29</v>
      </c>
      <c r="P18" s="359"/>
      <c r="R18" s="360" t="s">
        <v>30</v>
      </c>
      <c r="S18" s="360"/>
      <c r="U18" s="272"/>
      <c r="V18" s="143"/>
      <c r="W18" s="6" t="s">
        <v>32</v>
      </c>
      <c r="X18" s="7">
        <f>P3_backup!B36</f>
        <v>0</v>
      </c>
      <c r="AE18" s="7">
        <f>COUNTA(AC20:AE22)</f>
        <v>1</v>
      </c>
      <c r="AF18" s="272"/>
      <c r="AG18" s="143"/>
      <c r="AH18" s="6" t="s">
        <v>31</v>
      </c>
      <c r="AI18" s="7" t="e">
        <f>'Chấm điểm'!#REF!</f>
        <v>#REF!</v>
      </c>
      <c r="AS18" s="7">
        <f>COUNTA(AP20:AP25)</f>
        <v>6</v>
      </c>
      <c r="AT18" s="272"/>
      <c r="AU18" s="143"/>
      <c r="AV18" s="273" t="s">
        <v>719</v>
      </c>
      <c r="AW18" s="273">
        <v>868.7</v>
      </c>
      <c r="BB18" s="10"/>
      <c r="BC18" s="10"/>
      <c r="BH18" s="274" t="b">
        <f t="shared" si="3"/>
        <v>0</v>
      </c>
      <c r="BI18" s="274" t="b">
        <f t="shared" si="4"/>
        <v>0</v>
      </c>
      <c r="BO18" s="272"/>
      <c r="BP18" s="143"/>
      <c r="CF18" s="272"/>
      <c r="CG18" s="143"/>
    </row>
    <row r="19" spans="1:85" ht="15.75" x14ac:dyDescent="0.25">
      <c r="A19" s="273" t="s">
        <v>38</v>
      </c>
      <c r="B19" s="273" t="s">
        <v>38</v>
      </c>
      <c r="C19" s="273" t="s">
        <v>38</v>
      </c>
      <c r="D19" s="7" t="s">
        <v>39</v>
      </c>
      <c r="K19" s="143"/>
      <c r="L19" s="264" t="s">
        <v>41</v>
      </c>
      <c r="M19" s="264" t="s">
        <v>42</v>
      </c>
      <c r="O19" s="263" t="s">
        <v>41</v>
      </c>
      <c r="P19" s="263" t="s">
        <v>42</v>
      </c>
      <c r="R19" s="262" t="s">
        <v>41</v>
      </c>
      <c r="S19" s="262" t="s">
        <v>42</v>
      </c>
      <c r="U19" s="272"/>
      <c r="V19" s="143"/>
      <c r="W19" s="8" t="s">
        <v>28</v>
      </c>
      <c r="Z19" s="11" t="s">
        <v>29</v>
      </c>
      <c r="AC19" s="17" t="s">
        <v>30</v>
      </c>
      <c r="AF19" s="272"/>
      <c r="AG19" s="143"/>
      <c r="AH19" s="7" t="s">
        <v>220</v>
      </c>
      <c r="AI19" s="8" t="s">
        <v>28</v>
      </c>
      <c r="AL19" s="11" t="s">
        <v>29</v>
      </c>
      <c r="AP19" s="17" t="s">
        <v>30</v>
      </c>
      <c r="AT19" s="272"/>
      <c r="AU19" s="143"/>
      <c r="BO19" s="272"/>
      <c r="BP19" s="143"/>
      <c r="BQ19" s="6" t="s">
        <v>32</v>
      </c>
      <c r="CE19" s="7">
        <f>COUNTA(CB21)</f>
        <v>1</v>
      </c>
      <c r="CF19" s="272"/>
      <c r="CG19" s="143"/>
    </row>
    <row r="20" spans="1:85" ht="15.75" x14ac:dyDescent="0.25">
      <c r="A20" s="273" t="s">
        <v>38</v>
      </c>
      <c r="B20" s="273" t="s">
        <v>38</v>
      </c>
      <c r="C20" s="273" t="s">
        <v>38</v>
      </c>
      <c r="D20" s="7" t="s">
        <v>39</v>
      </c>
      <c r="K20" s="143"/>
      <c r="L20" s="273" t="s">
        <v>194</v>
      </c>
      <c r="M20" s="273" t="s">
        <v>87</v>
      </c>
      <c r="O20" s="10"/>
      <c r="P20" s="10"/>
      <c r="R20" s="274" t="b">
        <f>EXACT(L20,O20)</f>
        <v>0</v>
      </c>
      <c r="S20" s="274" t="b">
        <f>M20=P20</f>
        <v>0</v>
      </c>
      <c r="U20" s="272"/>
      <c r="V20" s="143"/>
      <c r="W20" s="276" t="b">
        <v>1</v>
      </c>
      <c r="Z20" s="10"/>
      <c r="AC20" s="274" t="b">
        <f>EXACT(W20,Z20)</f>
        <v>0</v>
      </c>
      <c r="AF20" s="272"/>
      <c r="AG20" s="143"/>
      <c r="AH20" s="7" t="s">
        <v>137</v>
      </c>
      <c r="AI20" s="276">
        <v>12</v>
      </c>
      <c r="AL20" s="10"/>
      <c r="AP20" s="274" t="b">
        <f>EXACT(AI20,AL20)</f>
        <v>0</v>
      </c>
      <c r="AT20" s="272"/>
      <c r="AU20" s="143"/>
      <c r="BO20" s="272"/>
      <c r="BP20" s="143"/>
      <c r="BR20" s="283" t="s">
        <v>28</v>
      </c>
      <c r="BW20" s="282" t="s">
        <v>29</v>
      </c>
      <c r="BX20"/>
      <c r="BY20"/>
      <c r="CB20" s="281" t="s">
        <v>30</v>
      </c>
      <c r="CF20" s="272"/>
      <c r="CG20" s="143"/>
    </row>
    <row r="21" spans="1:85" ht="15.75" x14ac:dyDescent="0.25">
      <c r="A21" s="273" t="s">
        <v>38</v>
      </c>
      <c r="B21" s="273" t="s">
        <v>38</v>
      </c>
      <c r="C21" s="273" t="s">
        <v>38</v>
      </c>
      <c r="D21" s="7" t="s">
        <v>39</v>
      </c>
      <c r="K21" s="143"/>
      <c r="L21" s="273" t="s">
        <v>194</v>
      </c>
      <c r="M21" s="273" t="s">
        <v>87</v>
      </c>
      <c r="O21" s="10"/>
      <c r="P21" s="10"/>
      <c r="R21" s="274" t="b">
        <f t="shared" ref="R21:R31" si="9">EXACT(L21,O21)</f>
        <v>0</v>
      </c>
      <c r="S21" s="274" t="b">
        <f t="shared" ref="S21:S31" si="10">M21=P21</f>
        <v>0</v>
      </c>
      <c r="U21" s="272"/>
      <c r="V21" s="143"/>
      <c r="AF21" s="272"/>
      <c r="AG21" s="143"/>
      <c r="AH21" s="7" t="s">
        <v>120</v>
      </c>
      <c r="AI21" s="276">
        <v>12</v>
      </c>
      <c r="AL21" s="10"/>
      <c r="AP21" s="274" t="b">
        <f t="shared" ref="AP21:AP25" si="11">EXACT(AI21,AL21)</f>
        <v>0</v>
      </c>
      <c r="AT21" s="272"/>
      <c r="AU21" s="143"/>
      <c r="AV21" s="6" t="s">
        <v>31</v>
      </c>
      <c r="BL21" s="7">
        <f>COUNTA(BH23)</f>
        <v>1</v>
      </c>
      <c r="BO21" s="272"/>
      <c r="BP21" s="143"/>
      <c r="BQ21" s="7" t="s">
        <v>276</v>
      </c>
      <c r="BR21" s="273" t="s">
        <v>275</v>
      </c>
      <c r="BW21" s="10"/>
      <c r="BX21"/>
      <c r="BY21"/>
      <c r="CB21" s="274" t="b">
        <f>BR21=BW21</f>
        <v>0</v>
      </c>
      <c r="CF21" s="272"/>
      <c r="CG21" s="143"/>
    </row>
    <row r="22" spans="1:85" ht="15.75" x14ac:dyDescent="0.25">
      <c r="A22" s="273" t="s">
        <v>38</v>
      </c>
      <c r="B22" s="273" t="s">
        <v>38</v>
      </c>
      <c r="C22" s="273" t="s">
        <v>38</v>
      </c>
      <c r="D22" s="7" t="s">
        <v>39</v>
      </c>
      <c r="K22" s="143"/>
      <c r="L22" s="273" t="s">
        <v>194</v>
      </c>
      <c r="M22" s="273" t="s">
        <v>87</v>
      </c>
      <c r="O22" s="10"/>
      <c r="P22" s="10"/>
      <c r="R22" s="274" t="b">
        <f t="shared" si="9"/>
        <v>0</v>
      </c>
      <c r="S22" s="274" t="b">
        <f t="shared" si="10"/>
        <v>0</v>
      </c>
      <c r="U22" s="272"/>
      <c r="V22" s="143"/>
      <c r="AF22" s="272"/>
      <c r="AG22" s="143"/>
      <c r="AH22" s="7" t="s">
        <v>221</v>
      </c>
      <c r="AI22" s="276">
        <v>12</v>
      </c>
      <c r="AL22" s="10"/>
      <c r="AP22" s="274" t="b">
        <f t="shared" si="11"/>
        <v>0</v>
      </c>
      <c r="AT22" s="272"/>
      <c r="AU22" s="143"/>
      <c r="AW22" s="283" t="s">
        <v>28</v>
      </c>
      <c r="BC22" s="282" t="s">
        <v>29</v>
      </c>
      <c r="BH22" s="281" t="s">
        <v>30</v>
      </c>
      <c r="BO22" s="272"/>
      <c r="BP22" s="143"/>
      <c r="CF22" s="272"/>
      <c r="CG22" s="143"/>
    </row>
    <row r="23" spans="1:85" x14ac:dyDescent="0.25">
      <c r="K23" s="143"/>
      <c r="L23" s="273" t="s">
        <v>194</v>
      </c>
      <c r="M23" s="273" t="s">
        <v>78</v>
      </c>
      <c r="O23" s="10"/>
      <c r="P23" s="10"/>
      <c r="R23" s="274" t="b">
        <f t="shared" si="9"/>
        <v>0</v>
      </c>
      <c r="S23" s="274" t="b">
        <f t="shared" si="10"/>
        <v>0</v>
      </c>
      <c r="U23" s="272"/>
      <c r="V23" s="143"/>
      <c r="AF23" s="272"/>
      <c r="AG23" s="143"/>
      <c r="AH23" s="7" t="s">
        <v>222</v>
      </c>
      <c r="AI23" s="276">
        <v>12</v>
      </c>
      <c r="AL23" s="10"/>
      <c r="AP23" s="274" t="b">
        <f t="shared" si="11"/>
        <v>0</v>
      </c>
      <c r="AT23" s="272"/>
      <c r="AU23" s="143"/>
      <c r="AV23" s="7" t="s">
        <v>264</v>
      </c>
      <c r="AW23" s="266" t="b">
        <v>0</v>
      </c>
      <c r="BB23" s="7" t="s">
        <v>264</v>
      </c>
      <c r="BC23" s="268"/>
      <c r="BH23" s="270" t="b">
        <f>AND(AW23=BC23,BC23&lt;&gt;"")</f>
        <v>0</v>
      </c>
      <c r="BO23" s="272"/>
      <c r="BP23" s="143"/>
      <c r="CF23" s="272"/>
      <c r="CG23" s="143"/>
    </row>
    <row r="24" spans="1:85" ht="15.75" x14ac:dyDescent="0.25">
      <c r="K24" s="143"/>
      <c r="L24" s="273" t="s">
        <v>194</v>
      </c>
      <c r="M24" s="273" t="s">
        <v>78</v>
      </c>
      <c r="O24" s="10"/>
      <c r="P24" s="10"/>
      <c r="R24" s="274" t="b">
        <f t="shared" si="9"/>
        <v>0</v>
      </c>
      <c r="S24" s="274" t="b">
        <f t="shared" si="10"/>
        <v>0</v>
      </c>
      <c r="U24" s="272"/>
      <c r="V24" s="143"/>
      <c r="W24" s="6" t="s">
        <v>40</v>
      </c>
      <c r="X24" s="7">
        <f>P3_backup!B37</f>
        <v>0</v>
      </c>
      <c r="AE24" s="7">
        <f>COUNTA(AC27:AE29)</f>
        <v>3</v>
      </c>
      <c r="AF24" s="272"/>
      <c r="AG24" s="143"/>
      <c r="AH24" s="7" t="s">
        <v>121</v>
      </c>
      <c r="AI24" s="276">
        <v>12</v>
      </c>
      <c r="AL24" s="10"/>
      <c r="AP24" s="274" t="b">
        <f t="shared" si="11"/>
        <v>0</v>
      </c>
      <c r="AT24" s="272"/>
      <c r="AU24" s="143"/>
      <c r="BO24" s="272"/>
      <c r="BP24" s="143"/>
      <c r="CF24" s="272"/>
      <c r="CG24" s="143"/>
    </row>
    <row r="25" spans="1:85" ht="15.75" x14ac:dyDescent="0.25">
      <c r="A25" s="6" t="s">
        <v>32</v>
      </c>
      <c r="I25" s="7">
        <f>COUNTA(G28:I35)+COUNTA(G38:G67)</f>
        <v>54</v>
      </c>
      <c r="K25" s="143"/>
      <c r="L25" s="273" t="s">
        <v>194</v>
      </c>
      <c r="M25" s="273" t="s">
        <v>87</v>
      </c>
      <c r="O25" s="10"/>
      <c r="P25" s="10"/>
      <c r="R25" s="274" t="b">
        <f t="shared" si="9"/>
        <v>0</v>
      </c>
      <c r="S25" s="274" t="b">
        <f t="shared" si="10"/>
        <v>0</v>
      </c>
      <c r="U25" s="272"/>
      <c r="V25" s="143"/>
      <c r="W25" s="367" t="s">
        <v>28</v>
      </c>
      <c r="X25" s="361"/>
      <c r="Y25" s="368"/>
      <c r="Z25" s="359" t="s">
        <v>29</v>
      </c>
      <c r="AA25" s="359"/>
      <c r="AB25" s="359"/>
      <c r="AC25" s="365" t="s">
        <v>30</v>
      </c>
      <c r="AD25" s="366"/>
      <c r="AE25" s="366"/>
      <c r="AF25" s="272"/>
      <c r="AG25" s="143"/>
      <c r="AH25" s="7" t="s">
        <v>223</v>
      </c>
      <c r="AI25" s="276">
        <v>12</v>
      </c>
      <c r="AL25" s="10"/>
      <c r="AP25" s="274" t="b">
        <f t="shared" si="11"/>
        <v>0</v>
      </c>
      <c r="AT25" s="272"/>
      <c r="AU25" s="143"/>
      <c r="BO25" s="272"/>
      <c r="BP25" s="143"/>
      <c r="BQ25" s="6" t="s">
        <v>40</v>
      </c>
      <c r="CE25" s="7">
        <f>COUNTA(CB28:CC42)</f>
        <v>30</v>
      </c>
      <c r="CF25" s="272"/>
      <c r="CG25" s="143"/>
    </row>
    <row r="26" spans="1:85" ht="15.75" x14ac:dyDescent="0.25">
      <c r="A26" s="373" t="s">
        <v>28</v>
      </c>
      <c r="B26" s="374"/>
      <c r="C26" s="375"/>
      <c r="D26" s="359" t="s">
        <v>29</v>
      </c>
      <c r="E26" s="359"/>
      <c r="F26" s="359"/>
      <c r="G26" s="360" t="s">
        <v>30</v>
      </c>
      <c r="H26" s="360"/>
      <c r="I26" s="360"/>
      <c r="K26" s="143"/>
      <c r="L26" s="273" t="s">
        <v>194</v>
      </c>
      <c r="M26" s="273" t="s">
        <v>87</v>
      </c>
      <c r="O26" s="10"/>
      <c r="P26" s="10"/>
      <c r="R26" s="274" t="b">
        <f t="shared" si="9"/>
        <v>0</v>
      </c>
      <c r="S26" s="274" t="b">
        <f t="shared" si="10"/>
        <v>0</v>
      </c>
      <c r="U26" s="272"/>
      <c r="V26" s="143"/>
      <c r="W26" s="264" t="s">
        <v>41</v>
      </c>
      <c r="X26" s="264" t="s">
        <v>42</v>
      </c>
      <c r="Y26" s="264" t="s">
        <v>697</v>
      </c>
      <c r="Z26" s="263" t="s">
        <v>41</v>
      </c>
      <c r="AA26" s="339" t="s">
        <v>42</v>
      </c>
      <c r="AB26" s="331" t="s">
        <v>697</v>
      </c>
      <c r="AC26" s="341" t="s">
        <v>41</v>
      </c>
      <c r="AD26" s="262" t="s">
        <v>42</v>
      </c>
      <c r="AE26" s="343" t="s">
        <v>697</v>
      </c>
      <c r="AF26" s="272"/>
      <c r="AG26" s="143"/>
      <c r="AT26" s="272"/>
      <c r="AU26" s="143"/>
      <c r="AV26" s="278" t="s">
        <v>32</v>
      </c>
      <c r="BL26" s="7">
        <f>COUNTA(BH29:BL86)</f>
        <v>290</v>
      </c>
      <c r="BO26" s="272"/>
      <c r="BP26" s="143"/>
      <c r="BQ26" s="361" t="s">
        <v>28</v>
      </c>
      <c r="BR26" s="361"/>
      <c r="BS26" s="361"/>
      <c r="BW26" s="359" t="s">
        <v>29</v>
      </c>
      <c r="BX26" s="359"/>
      <c r="CB26" s="360" t="s">
        <v>30</v>
      </c>
      <c r="CC26" s="360"/>
      <c r="CF26" s="272"/>
      <c r="CG26" s="143"/>
    </row>
    <row r="27" spans="1:85" ht="15.75" x14ac:dyDescent="0.25">
      <c r="A27" s="9" t="s">
        <v>6</v>
      </c>
      <c r="B27" s="9" t="s">
        <v>7</v>
      </c>
      <c r="C27" s="9" t="s">
        <v>8</v>
      </c>
      <c r="D27" s="9" t="s">
        <v>6</v>
      </c>
      <c r="E27" s="9" t="s">
        <v>7</v>
      </c>
      <c r="F27" s="9" t="s">
        <v>8</v>
      </c>
      <c r="G27" s="9" t="s">
        <v>6</v>
      </c>
      <c r="H27" s="9" t="s">
        <v>7</v>
      </c>
      <c r="I27" s="9" t="s">
        <v>8</v>
      </c>
      <c r="K27" s="143"/>
      <c r="L27" s="273" t="s">
        <v>194</v>
      </c>
      <c r="M27" s="273" t="s">
        <v>87</v>
      </c>
      <c r="O27" s="10"/>
      <c r="P27" s="10"/>
      <c r="R27" s="274" t="b">
        <f t="shared" si="9"/>
        <v>0</v>
      </c>
      <c r="S27" s="274" t="b">
        <f t="shared" si="10"/>
        <v>0</v>
      </c>
      <c r="U27" s="272"/>
      <c r="V27" s="143"/>
      <c r="W27" s="273" t="s">
        <v>693</v>
      </c>
      <c r="X27" s="337">
        <v>1000</v>
      </c>
      <c r="Y27" s="273" t="s">
        <v>694</v>
      </c>
      <c r="Z27" s="338"/>
      <c r="AA27" s="340"/>
      <c r="AB27" s="10"/>
      <c r="AC27" s="342" t="b">
        <f>OR(LEFT(Z27,5)=W28, LEFT(Z27,7)=W27)</f>
        <v>0</v>
      </c>
      <c r="AD27" s="274" t="b">
        <f>X27=AA27</f>
        <v>0</v>
      </c>
      <c r="AE27" s="274" t="b">
        <f>SUM(AB27:AB29)=3</f>
        <v>0</v>
      </c>
      <c r="AF27" s="272"/>
      <c r="AG27" s="143"/>
      <c r="AT27" s="272"/>
      <c r="AU27" s="143"/>
      <c r="AV27" s="362" t="s">
        <v>28</v>
      </c>
      <c r="AW27" s="363"/>
      <c r="AX27" s="363"/>
      <c r="AY27" s="363"/>
      <c r="AZ27" s="363"/>
      <c r="BB27" s="364" t="s">
        <v>29</v>
      </c>
      <c r="BC27" s="364"/>
      <c r="BD27" s="364"/>
      <c r="BE27" s="364"/>
      <c r="BF27" s="364"/>
      <c r="BH27" s="365" t="s">
        <v>30</v>
      </c>
      <c r="BI27" s="366"/>
      <c r="BJ27" s="366"/>
      <c r="BK27" s="366"/>
      <c r="BL27" s="366"/>
      <c r="BO27" s="272"/>
      <c r="BP27" s="143"/>
      <c r="BQ27" s="280" t="s">
        <v>41</v>
      </c>
      <c r="BR27" s="280" t="s">
        <v>41</v>
      </c>
      <c r="BS27" s="280" t="s">
        <v>29</v>
      </c>
      <c r="BW27" s="280" t="s">
        <v>41</v>
      </c>
      <c r="BX27" s="280" t="s">
        <v>29</v>
      </c>
      <c r="CB27" s="280" t="s">
        <v>41</v>
      </c>
      <c r="CC27" s="280" t="s">
        <v>29</v>
      </c>
      <c r="CF27" s="272"/>
      <c r="CG27" s="143"/>
    </row>
    <row r="28" spans="1:85" x14ac:dyDescent="0.25">
      <c r="A28" s="273" t="s">
        <v>317</v>
      </c>
      <c r="B28" s="273">
        <v>2023</v>
      </c>
      <c r="C28" s="273">
        <v>3661</v>
      </c>
      <c r="D28" s="10"/>
      <c r="E28" s="288"/>
      <c r="F28" s="288"/>
      <c r="G28" s="10" t="b">
        <f t="shared" ref="G28:G35" si="12">EXACT(A28,D28)</f>
        <v>0</v>
      </c>
      <c r="H28" s="10" t="b">
        <f t="shared" ref="H28:I35" si="13">EXACT(B28,E28)</f>
        <v>0</v>
      </c>
      <c r="I28" s="10" t="b">
        <f t="shared" si="13"/>
        <v>0</v>
      </c>
      <c r="K28" s="143"/>
      <c r="L28" s="273" t="s">
        <v>194</v>
      </c>
      <c r="M28" s="273" t="s">
        <v>78</v>
      </c>
      <c r="O28" s="10"/>
      <c r="P28" s="10"/>
      <c r="R28" s="274" t="b">
        <f t="shared" si="9"/>
        <v>0</v>
      </c>
      <c r="S28" s="274" t="b">
        <f t="shared" si="10"/>
        <v>0</v>
      </c>
      <c r="U28" s="272"/>
      <c r="V28" s="143"/>
      <c r="W28" s="273" t="s">
        <v>692</v>
      </c>
      <c r="Y28" s="273" t="s">
        <v>695</v>
      </c>
      <c r="AB28" s="10">
        <f t="shared" ref="AB28:AB29" si="14">IF(ISERROR(SEARCH(Y28,$Z$27)),0, IF(SEARCH(Y28,$Z$27)&gt;0, 1, 0))</f>
        <v>0</v>
      </c>
      <c r="AF28" s="272"/>
      <c r="AG28" s="143"/>
      <c r="AT28" s="272"/>
      <c r="AU28" s="143"/>
      <c r="AV28" s="9" t="s">
        <v>113</v>
      </c>
      <c r="AW28" s="9" t="s">
        <v>545</v>
      </c>
      <c r="AX28" s="9" t="s">
        <v>569</v>
      </c>
      <c r="AY28" s="9" t="s">
        <v>548</v>
      </c>
      <c r="AZ28" s="9" t="s">
        <v>553</v>
      </c>
      <c r="BB28" s="9" t="s">
        <v>113</v>
      </c>
      <c r="BC28" s="9" t="s">
        <v>545</v>
      </c>
      <c r="BD28" s="9" t="s">
        <v>569</v>
      </c>
      <c r="BE28" s="9" t="s">
        <v>548</v>
      </c>
      <c r="BF28" s="9" t="s">
        <v>553</v>
      </c>
      <c r="BH28" s="9" t="s">
        <v>113</v>
      </c>
      <c r="BI28" s="9" t="s">
        <v>545</v>
      </c>
      <c r="BJ28" s="9" t="s">
        <v>569</v>
      </c>
      <c r="BK28" s="9" t="s">
        <v>548</v>
      </c>
      <c r="BL28" s="9" t="s">
        <v>553</v>
      </c>
      <c r="BO28" s="272"/>
      <c r="BP28" s="143"/>
      <c r="BQ28" s="273" t="s">
        <v>723</v>
      </c>
      <c r="BR28" s="273" t="s">
        <v>724</v>
      </c>
      <c r="BS28" s="273">
        <v>528</v>
      </c>
      <c r="BW28" s="10"/>
      <c r="BX28" s="10"/>
      <c r="CB28" s="274" t="b">
        <f>OR(BQ28=BW28,BR28=BW28)</f>
        <v>0</v>
      </c>
      <c r="CC28" s="274" t="b">
        <f>BS28=BX28</f>
        <v>0</v>
      </c>
      <c r="CF28" s="272"/>
      <c r="CG28" s="143"/>
    </row>
    <row r="29" spans="1:85" ht="15.75" x14ac:dyDescent="0.25">
      <c r="A29" s="273" t="s">
        <v>318</v>
      </c>
      <c r="B29" s="273">
        <v>1059</v>
      </c>
      <c r="C29" s="273">
        <v>2472</v>
      </c>
      <c r="D29" s="10"/>
      <c r="E29" s="288"/>
      <c r="F29" s="288"/>
      <c r="G29" s="10" t="b">
        <f t="shared" si="12"/>
        <v>0</v>
      </c>
      <c r="H29" s="10" t="b">
        <f t="shared" si="13"/>
        <v>0</v>
      </c>
      <c r="I29" s="10" t="b">
        <f t="shared" si="13"/>
        <v>0</v>
      </c>
      <c r="K29" s="143"/>
      <c r="L29" s="273" t="s">
        <v>194</v>
      </c>
      <c r="M29" s="273" t="s">
        <v>87</v>
      </c>
      <c r="O29" s="10"/>
      <c r="P29" s="10"/>
      <c r="R29" s="274" t="b">
        <f t="shared" si="9"/>
        <v>0</v>
      </c>
      <c r="S29" s="274" t="b">
        <f t="shared" si="10"/>
        <v>0</v>
      </c>
      <c r="U29" s="272"/>
      <c r="V29" s="143"/>
      <c r="W29"/>
      <c r="Y29" s="273" t="s">
        <v>696</v>
      </c>
      <c r="AB29" s="10">
        <f t="shared" si="14"/>
        <v>0</v>
      </c>
      <c r="AF29" s="272"/>
      <c r="AG29" s="143"/>
      <c r="AH29" s="6" t="s">
        <v>32</v>
      </c>
      <c r="AI29" s="7" t="e">
        <f>'Chấm điểm'!#REF!</f>
        <v>#REF!</v>
      </c>
      <c r="AS29" s="7">
        <f>COUNTA(AP32:AQ32)</f>
        <v>2</v>
      </c>
      <c r="AT29" s="272"/>
      <c r="AU29" s="143"/>
      <c r="AV29" s="273">
        <v>39</v>
      </c>
      <c r="AW29" s="273" t="s">
        <v>556</v>
      </c>
      <c r="AX29" s="273" t="s">
        <v>607</v>
      </c>
      <c r="AY29" s="273">
        <v>182</v>
      </c>
      <c r="AZ29" s="345">
        <v>44017</v>
      </c>
      <c r="BB29" s="10"/>
      <c r="BC29" s="10"/>
      <c r="BD29" s="10"/>
      <c r="BE29" s="10"/>
      <c r="BF29" s="344"/>
      <c r="BH29" s="274" t="b">
        <f>AV29=BB29</f>
        <v>0</v>
      </c>
      <c r="BI29" s="274" t="b">
        <f t="shared" ref="BI29:BL44" si="15">AW29=BC29</f>
        <v>0</v>
      </c>
      <c r="BJ29" s="274" t="b">
        <f t="shared" si="15"/>
        <v>0</v>
      </c>
      <c r="BK29" s="274" t="b">
        <f t="shared" si="15"/>
        <v>0</v>
      </c>
      <c r="BL29" s="274" t="b">
        <f t="shared" si="15"/>
        <v>0</v>
      </c>
      <c r="BO29" s="272"/>
      <c r="BP29" s="143"/>
      <c r="BQ29" s="273" t="s">
        <v>723</v>
      </c>
      <c r="BR29" s="273" t="s">
        <v>724</v>
      </c>
      <c r="BS29" s="273">
        <v>228</v>
      </c>
      <c r="BW29" s="10"/>
      <c r="BX29" s="10"/>
      <c r="CB29" s="274" t="b">
        <f t="shared" ref="CB29:CB42" si="16">OR(BQ29=BW29,BR29=BW29)</f>
        <v>0</v>
      </c>
      <c r="CC29" s="274" t="b">
        <f t="shared" ref="CC29:CC42" si="17">BS29=BX29</f>
        <v>0</v>
      </c>
      <c r="CF29" s="272"/>
      <c r="CG29" s="143"/>
    </row>
    <row r="30" spans="1:85" ht="15.75" x14ac:dyDescent="0.25">
      <c r="A30" s="273" t="s">
        <v>319</v>
      </c>
      <c r="B30" s="273">
        <v>1067</v>
      </c>
      <c r="C30" s="273">
        <v>2593</v>
      </c>
      <c r="D30" s="10"/>
      <c r="E30" s="288"/>
      <c r="F30" s="288"/>
      <c r="G30" s="10" t="b">
        <f t="shared" si="12"/>
        <v>0</v>
      </c>
      <c r="H30" s="10" t="b">
        <f t="shared" si="13"/>
        <v>0</v>
      </c>
      <c r="I30" s="10" t="b">
        <f t="shared" si="13"/>
        <v>0</v>
      </c>
      <c r="K30" s="143"/>
      <c r="L30" s="273" t="s">
        <v>194</v>
      </c>
      <c r="M30" s="273" t="s">
        <v>87</v>
      </c>
      <c r="O30" s="10"/>
      <c r="P30" s="10"/>
      <c r="R30" s="274" t="b">
        <f t="shared" si="9"/>
        <v>0</v>
      </c>
      <c r="S30" s="274" t="b">
        <f t="shared" si="10"/>
        <v>0</v>
      </c>
      <c r="U30" s="272"/>
      <c r="V30" s="143"/>
      <c r="AF30" s="272"/>
      <c r="AG30" s="143"/>
      <c r="AH30" s="362" t="s">
        <v>28</v>
      </c>
      <c r="AI30" s="363"/>
      <c r="AL30" s="380" t="s">
        <v>29</v>
      </c>
      <c r="AM30" s="381"/>
      <c r="AP30" s="382" t="s">
        <v>30</v>
      </c>
      <c r="AQ30" s="383"/>
      <c r="AT30" s="272"/>
      <c r="AU30" s="143"/>
      <c r="AV30" s="273">
        <v>50</v>
      </c>
      <c r="AW30" s="273" t="s">
        <v>556</v>
      </c>
      <c r="AX30" s="273" t="s">
        <v>618</v>
      </c>
      <c r="AY30" s="273">
        <v>67</v>
      </c>
      <c r="AZ30" s="345">
        <v>44430</v>
      </c>
      <c r="BB30" s="10"/>
      <c r="BC30" s="10"/>
      <c r="BD30" s="10"/>
      <c r="BE30" s="10"/>
      <c r="BF30" s="344"/>
      <c r="BH30" s="274" t="b">
        <f t="shared" ref="BH30:BH86" si="18">AV30=BB30</f>
        <v>0</v>
      </c>
      <c r="BI30" s="274" t="b">
        <f t="shared" si="15"/>
        <v>0</v>
      </c>
      <c r="BJ30" s="274" t="b">
        <f t="shared" si="15"/>
        <v>0</v>
      </c>
      <c r="BK30" s="274" t="b">
        <f t="shared" si="15"/>
        <v>0</v>
      </c>
      <c r="BL30" s="274" t="b">
        <f t="shared" si="15"/>
        <v>0</v>
      </c>
      <c r="BO30" s="272"/>
      <c r="BP30" s="143"/>
      <c r="BQ30" s="273" t="s">
        <v>723</v>
      </c>
      <c r="BR30" s="273" t="s">
        <v>724</v>
      </c>
      <c r="BS30" s="273">
        <v>672</v>
      </c>
      <c r="BW30" s="10"/>
      <c r="BX30" s="10"/>
      <c r="CB30" s="274" t="b">
        <f t="shared" si="16"/>
        <v>0</v>
      </c>
      <c r="CC30" s="274" t="b">
        <f t="shared" si="17"/>
        <v>0</v>
      </c>
      <c r="CF30" s="272"/>
      <c r="CG30" s="143"/>
    </row>
    <row r="31" spans="1:85" ht="15.75" x14ac:dyDescent="0.25">
      <c r="A31" s="273" t="s">
        <v>320</v>
      </c>
      <c r="B31" s="273">
        <v>1232</v>
      </c>
      <c r="C31" s="273">
        <v>2600</v>
      </c>
      <c r="D31" s="10"/>
      <c r="E31" s="288"/>
      <c r="F31" s="288"/>
      <c r="G31" s="10" t="b">
        <f t="shared" si="12"/>
        <v>0</v>
      </c>
      <c r="H31" s="10" t="b">
        <f t="shared" si="13"/>
        <v>0</v>
      </c>
      <c r="I31" s="10" t="b">
        <f t="shared" si="13"/>
        <v>0</v>
      </c>
      <c r="K31" s="143"/>
      <c r="L31" s="273" t="s">
        <v>194</v>
      </c>
      <c r="M31" s="273" t="s">
        <v>87</v>
      </c>
      <c r="O31" s="10"/>
      <c r="P31" s="10"/>
      <c r="R31" s="274" t="b">
        <f t="shared" si="9"/>
        <v>0</v>
      </c>
      <c r="S31" s="274" t="b">
        <f t="shared" si="10"/>
        <v>0</v>
      </c>
      <c r="U31" s="272"/>
      <c r="V31" s="143"/>
      <c r="W31" s="6" t="s">
        <v>43</v>
      </c>
      <c r="X31" s="7">
        <f>P3_backup!B38</f>
        <v>0</v>
      </c>
      <c r="AE31" s="7">
        <f>COUNTA(AC34:AE36)</f>
        <v>2</v>
      </c>
      <c r="AF31" s="272"/>
      <c r="AG31" s="143"/>
      <c r="AH31" s="264" t="s">
        <v>224</v>
      </c>
      <c r="AI31" s="264" t="s">
        <v>171</v>
      </c>
      <c r="AJ31" s="104"/>
      <c r="AK31" s="104"/>
      <c r="AL31" s="263" t="s">
        <v>224</v>
      </c>
      <c r="AM31" s="263" t="s">
        <v>171</v>
      </c>
      <c r="AN31" s="104"/>
      <c r="AO31" s="104"/>
      <c r="AP31" s="262" t="s">
        <v>224</v>
      </c>
      <c r="AQ31" s="262" t="s">
        <v>171</v>
      </c>
      <c r="AT31" s="272"/>
      <c r="AU31" s="143"/>
      <c r="AV31" s="273">
        <v>20</v>
      </c>
      <c r="AW31" s="273" t="s">
        <v>556</v>
      </c>
      <c r="AX31" s="273" t="s">
        <v>589</v>
      </c>
      <c r="AY31" s="273">
        <v>240</v>
      </c>
      <c r="AZ31" s="345">
        <v>44914</v>
      </c>
      <c r="BB31" s="10"/>
      <c r="BC31" s="10"/>
      <c r="BD31" s="10"/>
      <c r="BE31" s="10"/>
      <c r="BF31" s="344"/>
      <c r="BH31" s="274" t="b">
        <f t="shared" si="18"/>
        <v>0</v>
      </c>
      <c r="BI31" s="274" t="b">
        <f t="shared" si="15"/>
        <v>0</v>
      </c>
      <c r="BJ31" s="274" t="b">
        <f t="shared" si="15"/>
        <v>0</v>
      </c>
      <c r="BK31" s="274" t="b">
        <f t="shared" si="15"/>
        <v>0</v>
      </c>
      <c r="BL31" s="274" t="b">
        <f t="shared" si="15"/>
        <v>0</v>
      </c>
      <c r="BO31" s="272"/>
      <c r="BP31" s="143"/>
      <c r="BQ31" s="273" t="s">
        <v>723</v>
      </c>
      <c r="BR31" s="273" t="s">
        <v>724</v>
      </c>
      <c r="BS31" s="273">
        <v>2415</v>
      </c>
      <c r="BW31" s="10"/>
      <c r="BX31" s="10"/>
      <c r="CB31" s="274" t="b">
        <f t="shared" si="16"/>
        <v>0</v>
      </c>
      <c r="CC31" s="274" t="b">
        <f t="shared" si="17"/>
        <v>0</v>
      </c>
      <c r="CF31" s="272"/>
      <c r="CG31" s="143"/>
    </row>
    <row r="32" spans="1:85" ht="15.75" x14ac:dyDescent="0.25">
      <c r="A32" s="273" t="s">
        <v>322</v>
      </c>
      <c r="B32" s="273">
        <v>1572</v>
      </c>
      <c r="C32" s="273">
        <v>3405</v>
      </c>
      <c r="D32" s="10"/>
      <c r="E32" s="288"/>
      <c r="F32" s="288"/>
      <c r="G32" s="10" t="b">
        <f t="shared" si="12"/>
        <v>0</v>
      </c>
      <c r="H32" s="10" t="b">
        <f t="shared" si="13"/>
        <v>0</v>
      </c>
      <c r="I32" s="10" t="b">
        <f t="shared" si="13"/>
        <v>0</v>
      </c>
      <c r="K32" s="143"/>
      <c r="U32" s="272"/>
      <c r="V32" s="143"/>
      <c r="W32" s="371" t="s">
        <v>28</v>
      </c>
      <c r="X32" s="371"/>
      <c r="Z32" s="359" t="s">
        <v>29</v>
      </c>
      <c r="AA32" s="359"/>
      <c r="AC32" s="360" t="s">
        <v>30</v>
      </c>
      <c r="AD32" s="360"/>
      <c r="AF32" s="272"/>
      <c r="AG32" s="143"/>
      <c r="AH32" s="9">
        <v>2</v>
      </c>
      <c r="AI32" s="9" t="s">
        <v>225</v>
      </c>
      <c r="AL32" s="10"/>
      <c r="AM32" s="10"/>
      <c r="AP32" s="274" t="b">
        <f>EXACT(AH32,AL32)</f>
        <v>0</v>
      </c>
      <c r="AQ32" s="274" t="b">
        <f>EXACT(AI32,AM32)</f>
        <v>0</v>
      </c>
      <c r="AT32" s="272"/>
      <c r="AU32" s="143"/>
      <c r="AV32" s="273">
        <v>46</v>
      </c>
      <c r="AW32" s="273" t="s">
        <v>556</v>
      </c>
      <c r="AX32" s="273" t="s">
        <v>614</v>
      </c>
      <c r="AY32" s="273">
        <v>165</v>
      </c>
      <c r="AZ32" s="345">
        <v>44883</v>
      </c>
      <c r="BB32" s="10"/>
      <c r="BC32" s="10"/>
      <c r="BD32" s="10"/>
      <c r="BE32" s="10"/>
      <c r="BF32" s="344"/>
      <c r="BH32" s="274" t="b">
        <f t="shared" si="18"/>
        <v>0</v>
      </c>
      <c r="BI32" s="274" t="b">
        <f t="shared" si="15"/>
        <v>0</v>
      </c>
      <c r="BJ32" s="274" t="b">
        <f t="shared" si="15"/>
        <v>0</v>
      </c>
      <c r="BK32" s="274" t="b">
        <f t="shared" si="15"/>
        <v>0</v>
      </c>
      <c r="BL32" s="274" t="b">
        <f t="shared" si="15"/>
        <v>0</v>
      </c>
      <c r="BO32" s="272"/>
      <c r="BP32" s="143"/>
      <c r="BQ32" s="273" t="s">
        <v>723</v>
      </c>
      <c r="BR32" s="273" t="s">
        <v>724</v>
      </c>
      <c r="BS32" s="273">
        <v>900</v>
      </c>
      <c r="BW32" s="10"/>
      <c r="BX32" s="10"/>
      <c r="CB32" s="274" t="b">
        <f t="shared" si="16"/>
        <v>0</v>
      </c>
      <c r="CC32" s="274" t="b">
        <f t="shared" si="17"/>
        <v>0</v>
      </c>
      <c r="CF32" s="272"/>
      <c r="CG32" s="143"/>
    </row>
    <row r="33" spans="1:85" x14ac:dyDescent="0.25">
      <c r="A33" s="273" t="s">
        <v>323</v>
      </c>
      <c r="B33" s="273">
        <v>1724</v>
      </c>
      <c r="C33" s="273">
        <v>3591</v>
      </c>
      <c r="D33" s="10"/>
      <c r="E33" s="288"/>
      <c r="F33" s="288"/>
      <c r="G33" s="10" t="b">
        <f t="shared" si="12"/>
        <v>0</v>
      </c>
      <c r="H33" s="10" t="b">
        <f t="shared" si="13"/>
        <v>0</v>
      </c>
      <c r="I33" s="10" t="b">
        <f t="shared" si="13"/>
        <v>0</v>
      </c>
      <c r="K33" s="143"/>
      <c r="U33" s="272"/>
      <c r="V33" s="143"/>
      <c r="W33" s="264" t="s">
        <v>41</v>
      </c>
      <c r="X33" s="264" t="s">
        <v>42</v>
      </c>
      <c r="Z33" s="263" t="s">
        <v>41</v>
      </c>
      <c r="AA33" s="263" t="s">
        <v>42</v>
      </c>
      <c r="AC33" s="262" t="s">
        <v>41</v>
      </c>
      <c r="AD33" s="262" t="s">
        <v>42</v>
      </c>
      <c r="AF33" s="272"/>
      <c r="AG33" s="143"/>
      <c r="AT33" s="272"/>
      <c r="AU33" s="143"/>
      <c r="AV33" s="273">
        <v>14</v>
      </c>
      <c r="AW33" s="273" t="s">
        <v>556</v>
      </c>
      <c r="AX33" s="273" t="s">
        <v>583</v>
      </c>
      <c r="AY33" s="273">
        <v>279</v>
      </c>
      <c r="AZ33" s="345">
        <v>45031</v>
      </c>
      <c r="BB33" s="10"/>
      <c r="BC33" s="10"/>
      <c r="BD33" s="10"/>
      <c r="BE33" s="10"/>
      <c r="BF33" s="344"/>
      <c r="BH33" s="274" t="b">
        <f t="shared" si="18"/>
        <v>0</v>
      </c>
      <c r="BI33" s="274" t="b">
        <f t="shared" si="15"/>
        <v>0</v>
      </c>
      <c r="BJ33" s="274" t="b">
        <f t="shared" si="15"/>
        <v>0</v>
      </c>
      <c r="BK33" s="274" t="b">
        <f t="shared" si="15"/>
        <v>0</v>
      </c>
      <c r="BL33" s="274" t="b">
        <f t="shared" si="15"/>
        <v>0</v>
      </c>
      <c r="BO33" s="272"/>
      <c r="BP33" s="143"/>
      <c r="BQ33" s="273" t="s">
        <v>723</v>
      </c>
      <c r="BR33" s="273" t="s">
        <v>724</v>
      </c>
      <c r="BS33" s="273">
        <v>236</v>
      </c>
      <c r="BW33" s="10"/>
      <c r="BX33" s="10"/>
      <c r="CB33" s="274" t="b">
        <f t="shared" si="16"/>
        <v>0</v>
      </c>
      <c r="CC33" s="274" t="b">
        <f t="shared" si="17"/>
        <v>0</v>
      </c>
      <c r="CF33" s="272"/>
      <c r="CG33" s="143"/>
    </row>
    <row r="34" spans="1:85" x14ac:dyDescent="0.25">
      <c r="A34" s="273" t="s">
        <v>324</v>
      </c>
      <c r="B34" s="273">
        <v>2003</v>
      </c>
      <c r="C34" s="273">
        <v>3880</v>
      </c>
      <c r="D34" s="10"/>
      <c r="E34" s="288"/>
      <c r="F34" s="288"/>
      <c r="G34" s="10" t="b">
        <f t="shared" si="12"/>
        <v>0</v>
      </c>
      <c r="H34" s="10" t="b">
        <f t="shared" si="13"/>
        <v>0</v>
      </c>
      <c r="I34" s="10" t="b">
        <f t="shared" si="13"/>
        <v>0</v>
      </c>
      <c r="K34" s="143"/>
      <c r="U34" s="272"/>
      <c r="V34" s="143"/>
      <c r="W34" s="273" t="s">
        <v>205</v>
      </c>
      <c r="X34" s="273">
        <v>3</v>
      </c>
      <c r="Z34" s="10"/>
      <c r="AA34" s="10"/>
      <c r="AC34" s="274" t="b">
        <f>EXACT(W34,Z34)</f>
        <v>0</v>
      </c>
      <c r="AD34" s="274" t="b">
        <f>X34=AA34</f>
        <v>0</v>
      </c>
      <c r="AF34" s="272"/>
      <c r="AG34" s="143"/>
      <c r="AT34" s="272"/>
      <c r="AU34" s="143"/>
      <c r="AV34" s="273">
        <v>56</v>
      </c>
      <c r="AW34" s="273" t="s">
        <v>556</v>
      </c>
      <c r="AX34" s="273" t="s">
        <v>624</v>
      </c>
      <c r="AY34" s="273">
        <v>109</v>
      </c>
      <c r="AZ34" s="345">
        <v>45261</v>
      </c>
      <c r="BB34" s="10"/>
      <c r="BC34" s="10"/>
      <c r="BD34" s="10"/>
      <c r="BE34" s="10"/>
      <c r="BF34" s="344"/>
      <c r="BH34" s="274" t="b">
        <f t="shared" si="18"/>
        <v>0</v>
      </c>
      <c r="BI34" s="274" t="b">
        <f t="shared" si="15"/>
        <v>0</v>
      </c>
      <c r="BJ34" s="274" t="b">
        <f t="shared" si="15"/>
        <v>0</v>
      </c>
      <c r="BK34" s="274" t="b">
        <f t="shared" si="15"/>
        <v>0</v>
      </c>
      <c r="BL34" s="274" t="b">
        <f t="shared" si="15"/>
        <v>0</v>
      </c>
      <c r="BO34" s="272"/>
      <c r="BP34" s="143"/>
      <c r="BQ34" s="273" t="s">
        <v>723</v>
      </c>
      <c r="BR34" s="273" t="s">
        <v>724</v>
      </c>
      <c r="BS34" s="273">
        <v>816</v>
      </c>
      <c r="BW34" s="10"/>
      <c r="BX34" s="10"/>
      <c r="CB34" s="274" t="b">
        <f t="shared" si="16"/>
        <v>0</v>
      </c>
      <c r="CC34" s="274" t="b">
        <f t="shared" si="17"/>
        <v>0</v>
      </c>
      <c r="CF34" s="272"/>
      <c r="CG34" s="143"/>
    </row>
    <row r="35" spans="1:85" x14ac:dyDescent="0.25">
      <c r="A35" s="273"/>
      <c r="B35" s="273"/>
      <c r="C35" s="273"/>
      <c r="D35" s="10"/>
      <c r="E35" s="288"/>
      <c r="F35" s="288"/>
      <c r="G35" s="10" t="b">
        <f t="shared" si="12"/>
        <v>1</v>
      </c>
      <c r="H35" s="10" t="b">
        <f t="shared" si="13"/>
        <v>1</v>
      </c>
      <c r="I35" s="10" t="b">
        <f t="shared" si="13"/>
        <v>1</v>
      </c>
      <c r="K35" s="143"/>
      <c r="U35" s="272"/>
      <c r="V35" s="143"/>
      <c r="AF35" s="272"/>
      <c r="AG35" s="143"/>
      <c r="AT35" s="272"/>
      <c r="AU35" s="143"/>
      <c r="AV35" s="273">
        <v>22</v>
      </c>
      <c r="AW35" s="273" t="s">
        <v>556</v>
      </c>
      <c r="AX35" s="273" t="s">
        <v>591</v>
      </c>
      <c r="AY35" s="273">
        <v>444</v>
      </c>
      <c r="AZ35" s="345">
        <v>44417</v>
      </c>
      <c r="BB35" s="10"/>
      <c r="BC35" s="10"/>
      <c r="BD35" s="10"/>
      <c r="BE35" s="10"/>
      <c r="BF35" s="344"/>
      <c r="BH35" s="274" t="b">
        <f t="shared" si="18"/>
        <v>0</v>
      </c>
      <c r="BI35" s="274" t="b">
        <f t="shared" si="15"/>
        <v>0</v>
      </c>
      <c r="BJ35" s="274" t="b">
        <f t="shared" si="15"/>
        <v>0</v>
      </c>
      <c r="BK35" s="274" t="b">
        <f t="shared" si="15"/>
        <v>0</v>
      </c>
      <c r="BL35" s="274" t="b">
        <f t="shared" si="15"/>
        <v>0</v>
      </c>
      <c r="BO35" s="272"/>
      <c r="BP35" s="143"/>
      <c r="BQ35" s="273" t="s">
        <v>723</v>
      </c>
      <c r="BR35" s="273" t="s">
        <v>724</v>
      </c>
      <c r="BS35" s="273">
        <v>708</v>
      </c>
      <c r="BW35" s="10"/>
      <c r="BX35" s="10"/>
      <c r="CB35" s="274" t="b">
        <f t="shared" si="16"/>
        <v>0</v>
      </c>
      <c r="CC35" s="274" t="b">
        <f t="shared" si="17"/>
        <v>0</v>
      </c>
      <c r="CF35" s="272"/>
      <c r="CG35" s="143"/>
    </row>
    <row r="36" spans="1:85" ht="15.75" x14ac:dyDescent="0.25">
      <c r="K36" s="143"/>
      <c r="L36" s="6" t="s">
        <v>40</v>
      </c>
      <c r="M36" s="7">
        <f>P2_backup!B37</f>
        <v>0</v>
      </c>
      <c r="T36" s="7">
        <f>COUNTA(R39:T50)</f>
        <v>24</v>
      </c>
      <c r="U36" s="272"/>
      <c r="V36" s="143"/>
      <c r="AF36" s="272"/>
      <c r="AG36" s="143"/>
      <c r="AH36" s="6" t="s">
        <v>40</v>
      </c>
      <c r="AS36" s="7">
        <f>COUNTA(AP38:AS38,AP41:AS49)</f>
        <v>28</v>
      </c>
      <c r="AT36" s="272"/>
      <c r="AU36" s="143"/>
      <c r="AV36" s="273">
        <v>49</v>
      </c>
      <c r="AW36" s="273" t="s">
        <v>556</v>
      </c>
      <c r="AX36" s="273" t="s">
        <v>617</v>
      </c>
      <c r="AY36" s="273">
        <v>143</v>
      </c>
      <c r="AZ36" s="345">
        <v>44209</v>
      </c>
      <c r="BB36" s="10"/>
      <c r="BC36" s="10"/>
      <c r="BD36" s="10"/>
      <c r="BE36" s="10"/>
      <c r="BF36" s="344"/>
      <c r="BH36" s="274" t="b">
        <f t="shared" si="18"/>
        <v>0</v>
      </c>
      <c r="BI36" s="274" t="b">
        <f t="shared" si="15"/>
        <v>0</v>
      </c>
      <c r="BJ36" s="274" t="b">
        <f t="shared" si="15"/>
        <v>0</v>
      </c>
      <c r="BK36" s="274" t="b">
        <f t="shared" si="15"/>
        <v>0</v>
      </c>
      <c r="BL36" s="274" t="b">
        <f t="shared" si="15"/>
        <v>0</v>
      </c>
      <c r="BO36" s="272"/>
      <c r="BP36" s="143"/>
      <c r="BQ36" s="273" t="s">
        <v>723</v>
      </c>
      <c r="BR36" s="273" t="s">
        <v>724</v>
      </c>
      <c r="BS36" s="273">
        <v>396</v>
      </c>
      <c r="BW36" s="10"/>
      <c r="BX36" s="10"/>
      <c r="CB36" s="274" t="b">
        <f t="shared" si="16"/>
        <v>0</v>
      </c>
      <c r="CC36" s="274" t="b">
        <f t="shared" si="17"/>
        <v>0</v>
      </c>
      <c r="CF36" s="272"/>
      <c r="CG36" s="143"/>
    </row>
    <row r="37" spans="1:85" ht="15.75" x14ac:dyDescent="0.25">
      <c r="A37" s="8" t="s">
        <v>686</v>
      </c>
      <c r="D37" s="11" t="s">
        <v>686</v>
      </c>
      <c r="G37" s="17" t="s">
        <v>30</v>
      </c>
      <c r="K37" s="143"/>
      <c r="L37" s="371" t="s">
        <v>28</v>
      </c>
      <c r="M37" s="371"/>
      <c r="O37" s="359" t="s">
        <v>29</v>
      </c>
      <c r="P37" s="359"/>
      <c r="R37" s="360" t="s">
        <v>30</v>
      </c>
      <c r="S37" s="360"/>
      <c r="U37" s="272"/>
      <c r="V37" s="143"/>
      <c r="AF37" s="272"/>
      <c r="AG37" s="143"/>
      <c r="AI37" s="8" t="s">
        <v>28</v>
      </c>
      <c r="AL37" s="11" t="s">
        <v>29</v>
      </c>
      <c r="AP37" s="17" t="s">
        <v>30</v>
      </c>
      <c r="AT37" s="272"/>
      <c r="AU37" s="143"/>
      <c r="AV37" s="273">
        <v>43</v>
      </c>
      <c r="AW37" s="273" t="s">
        <v>556</v>
      </c>
      <c r="AX37" s="273" t="s">
        <v>611</v>
      </c>
      <c r="AY37" s="273">
        <v>91</v>
      </c>
      <c r="AZ37" s="345">
        <v>44349</v>
      </c>
      <c r="BB37" s="10"/>
      <c r="BC37" s="10"/>
      <c r="BD37" s="10"/>
      <c r="BE37" s="10"/>
      <c r="BF37" s="344"/>
      <c r="BH37" s="274" t="b">
        <f t="shared" si="18"/>
        <v>0</v>
      </c>
      <c r="BI37" s="274" t="b">
        <f t="shared" si="15"/>
        <v>0</v>
      </c>
      <c r="BJ37" s="274" t="b">
        <f t="shared" si="15"/>
        <v>0</v>
      </c>
      <c r="BK37" s="274" t="b">
        <f t="shared" si="15"/>
        <v>0</v>
      </c>
      <c r="BL37" s="274" t="b">
        <f t="shared" si="15"/>
        <v>0</v>
      </c>
      <c r="BO37" s="272"/>
      <c r="BP37" s="143"/>
      <c r="BQ37" s="273" t="s">
        <v>723</v>
      </c>
      <c r="BR37" s="273" t="s">
        <v>724</v>
      </c>
      <c r="BS37" s="273">
        <v>124</v>
      </c>
      <c r="BW37" s="10"/>
      <c r="BX37" s="10"/>
      <c r="CB37" s="274" t="b">
        <f t="shared" si="16"/>
        <v>0</v>
      </c>
      <c r="CC37" s="274" t="b">
        <f t="shared" si="17"/>
        <v>0</v>
      </c>
      <c r="CF37" s="272"/>
      <c r="CG37" s="143"/>
    </row>
    <row r="38" spans="1:85" ht="15.75" x14ac:dyDescent="0.25">
      <c r="A38" s="273">
        <v>1</v>
      </c>
      <c r="D38" s="10"/>
      <c r="G38" s="274" t="b">
        <f>A38=D38</f>
        <v>0</v>
      </c>
      <c r="K38" s="143"/>
      <c r="L38" s="264" t="s">
        <v>41</v>
      </c>
      <c r="M38" s="264" t="s">
        <v>42</v>
      </c>
      <c r="O38" s="263" t="s">
        <v>41</v>
      </c>
      <c r="P38" s="263" t="s">
        <v>42</v>
      </c>
      <c r="R38" s="262" t="s">
        <v>41</v>
      </c>
      <c r="S38" s="262" t="s">
        <v>42</v>
      </c>
      <c r="U38" s="272"/>
      <c r="V38" s="143"/>
      <c r="W38" s="6" t="s">
        <v>54</v>
      </c>
      <c r="X38" s="7">
        <f>P3_backup!B39</f>
        <v>0</v>
      </c>
      <c r="AE38" s="7">
        <f>COUNTA(AC41:AE43)</f>
        <v>2</v>
      </c>
      <c r="AF38" s="272"/>
      <c r="AG38" s="143"/>
      <c r="AH38" s="7" t="s">
        <v>227</v>
      </c>
      <c r="AI38" s="273" t="s">
        <v>226</v>
      </c>
      <c r="AL38" s="10"/>
      <c r="AP38" s="274" t="b">
        <f>EXACT(AI38,AL38)</f>
        <v>0</v>
      </c>
      <c r="AT38" s="272"/>
      <c r="AU38" s="143"/>
      <c r="AV38" s="273">
        <v>31</v>
      </c>
      <c r="AW38" s="273" t="s">
        <v>556</v>
      </c>
      <c r="AX38" s="273" t="s">
        <v>599</v>
      </c>
      <c r="AY38" s="273">
        <v>98</v>
      </c>
      <c r="AZ38" s="345">
        <v>43943</v>
      </c>
      <c r="BB38" s="10"/>
      <c r="BC38" s="10"/>
      <c r="BD38" s="10"/>
      <c r="BE38" s="10"/>
      <c r="BF38" s="344"/>
      <c r="BH38" s="274" t="b">
        <f t="shared" si="18"/>
        <v>0</v>
      </c>
      <c r="BI38" s="274" t="b">
        <f t="shared" si="15"/>
        <v>0</v>
      </c>
      <c r="BJ38" s="274" t="b">
        <f t="shared" si="15"/>
        <v>0</v>
      </c>
      <c r="BK38" s="274" t="b">
        <f t="shared" si="15"/>
        <v>0</v>
      </c>
      <c r="BL38" s="274" t="b">
        <f t="shared" si="15"/>
        <v>0</v>
      </c>
      <c r="BO38" s="272"/>
      <c r="BP38" s="143"/>
      <c r="BQ38" s="273" t="s">
        <v>723</v>
      </c>
      <c r="BR38" s="273" t="s">
        <v>724</v>
      </c>
      <c r="BS38" s="273">
        <v>432</v>
      </c>
      <c r="BW38" s="10"/>
      <c r="BX38" s="10"/>
      <c r="CB38" s="274" t="b">
        <f t="shared" si="16"/>
        <v>0</v>
      </c>
      <c r="CC38" s="274" t="b">
        <f t="shared" si="17"/>
        <v>0</v>
      </c>
      <c r="CF38" s="272"/>
      <c r="CG38" s="143"/>
    </row>
    <row r="39" spans="1:85" ht="15.75" x14ac:dyDescent="0.25">
      <c r="A39" s="273">
        <v>2</v>
      </c>
      <c r="D39" s="10"/>
      <c r="G39" s="274" t="b">
        <f t="shared" ref="G39:G67" si="19">A39=D39</f>
        <v>0</v>
      </c>
      <c r="K39" s="143"/>
      <c r="L39" s="273" t="s">
        <v>195</v>
      </c>
      <c r="M39" s="273" t="s">
        <v>80</v>
      </c>
      <c r="O39" s="10"/>
      <c r="P39" s="10"/>
      <c r="R39" s="274" t="b">
        <f>EXACT(LEFT(L39,2),LEFT(O39,2))</f>
        <v>0</v>
      </c>
      <c r="S39" s="274" t="b">
        <f>M39=P39</f>
        <v>0</v>
      </c>
      <c r="U39" s="272"/>
      <c r="V39" s="143"/>
      <c r="W39" s="371" t="s">
        <v>28</v>
      </c>
      <c r="X39" s="371"/>
      <c r="Z39" s="359" t="s">
        <v>29</v>
      </c>
      <c r="AA39" s="359"/>
      <c r="AC39" s="360" t="s">
        <v>30</v>
      </c>
      <c r="AD39" s="360"/>
      <c r="AF39" s="272"/>
      <c r="AG39" s="143"/>
      <c r="AT39" s="272"/>
      <c r="AU39" s="143"/>
      <c r="AV39" s="273">
        <v>29</v>
      </c>
      <c r="AW39" s="273" t="s">
        <v>556</v>
      </c>
      <c r="AX39" s="273" t="s">
        <v>598</v>
      </c>
      <c r="AY39" s="273">
        <v>481</v>
      </c>
      <c r="AZ39" s="345">
        <v>44472</v>
      </c>
      <c r="BB39" s="10"/>
      <c r="BC39" s="10"/>
      <c r="BD39" s="10"/>
      <c r="BE39" s="10"/>
      <c r="BF39" s="344"/>
      <c r="BH39" s="274" t="b">
        <f t="shared" si="18"/>
        <v>0</v>
      </c>
      <c r="BI39" s="274" t="b">
        <f t="shared" si="15"/>
        <v>0</v>
      </c>
      <c r="BJ39" s="274" t="b">
        <f t="shared" si="15"/>
        <v>0</v>
      </c>
      <c r="BK39" s="274" t="b">
        <f t="shared" si="15"/>
        <v>0</v>
      </c>
      <c r="BL39" s="274" t="b">
        <f t="shared" si="15"/>
        <v>0</v>
      </c>
      <c r="BO39" s="272"/>
      <c r="BP39" s="143"/>
      <c r="BQ39" s="273" t="s">
        <v>723</v>
      </c>
      <c r="BR39" s="273" t="s">
        <v>724</v>
      </c>
      <c r="BS39" s="273">
        <v>264</v>
      </c>
      <c r="BW39" s="10"/>
      <c r="BX39" s="10"/>
      <c r="CB39" s="274" t="b">
        <f t="shared" si="16"/>
        <v>0</v>
      </c>
      <c r="CC39" s="274" t="b">
        <f t="shared" si="17"/>
        <v>0</v>
      </c>
      <c r="CF39" s="272"/>
      <c r="CG39" s="143"/>
    </row>
    <row r="40" spans="1:85" x14ac:dyDescent="0.25">
      <c r="A40" s="273">
        <v>3</v>
      </c>
      <c r="D40" s="10"/>
      <c r="G40" s="274" t="b">
        <f t="shared" si="19"/>
        <v>0</v>
      </c>
      <c r="K40" s="143"/>
      <c r="L40" s="273" t="s">
        <v>195</v>
      </c>
      <c r="M40" s="273" t="s">
        <v>80</v>
      </c>
      <c r="O40" s="10"/>
      <c r="P40" s="10"/>
      <c r="R40" s="274" t="b">
        <f t="shared" ref="R40:R50" si="20">EXACT(LEFT(L40,2),LEFT(O40,2))</f>
        <v>0</v>
      </c>
      <c r="S40" s="274" t="b">
        <f t="shared" ref="S40:S50" si="21">M40=P40</f>
        <v>0</v>
      </c>
      <c r="U40" s="272"/>
      <c r="V40" s="143"/>
      <c r="W40" s="264" t="s">
        <v>206</v>
      </c>
      <c r="X40" s="264" t="s">
        <v>207</v>
      </c>
      <c r="Z40" s="263" t="s">
        <v>206</v>
      </c>
      <c r="AA40" s="263" t="s">
        <v>207</v>
      </c>
      <c r="AC40" s="262" t="s">
        <v>41</v>
      </c>
      <c r="AD40" s="262" t="s">
        <v>42</v>
      </c>
      <c r="AF40" s="272"/>
      <c r="AG40" s="143"/>
      <c r="AH40" s="7" t="s">
        <v>228</v>
      </c>
      <c r="AI40" s="277" t="s">
        <v>203</v>
      </c>
      <c r="AJ40" s="277" t="s">
        <v>240</v>
      </c>
      <c r="AK40" s="277" t="s">
        <v>239</v>
      </c>
      <c r="AL40" s="277" t="s">
        <v>203</v>
      </c>
      <c r="AM40" s="277" t="s">
        <v>240</v>
      </c>
      <c r="AN40" s="277" t="s">
        <v>239</v>
      </c>
      <c r="AO40" s="277"/>
      <c r="AP40" s="277" t="s">
        <v>203</v>
      </c>
      <c r="AQ40" s="277" t="s">
        <v>240</v>
      </c>
      <c r="AR40" s="277" t="s">
        <v>239</v>
      </c>
      <c r="AT40" s="272"/>
      <c r="AU40" s="143"/>
      <c r="AV40" s="273">
        <v>26</v>
      </c>
      <c r="AW40" s="273" t="s">
        <v>556</v>
      </c>
      <c r="AX40" s="273" t="s">
        <v>595</v>
      </c>
      <c r="AY40" s="273">
        <v>540</v>
      </c>
      <c r="AZ40" s="345">
        <v>43864</v>
      </c>
      <c r="BB40" s="10"/>
      <c r="BC40" s="10"/>
      <c r="BD40" s="10"/>
      <c r="BE40" s="10"/>
      <c r="BF40" s="344"/>
      <c r="BH40" s="274" t="b">
        <f t="shared" si="18"/>
        <v>0</v>
      </c>
      <c r="BI40" s="274" t="b">
        <f t="shared" si="15"/>
        <v>0</v>
      </c>
      <c r="BJ40" s="274" t="b">
        <f t="shared" si="15"/>
        <v>0</v>
      </c>
      <c r="BK40" s="274" t="b">
        <f t="shared" si="15"/>
        <v>0</v>
      </c>
      <c r="BL40" s="274" t="b">
        <f t="shared" si="15"/>
        <v>0</v>
      </c>
      <c r="BO40" s="272"/>
      <c r="BP40" s="143"/>
      <c r="BQ40" s="273" t="s">
        <v>723</v>
      </c>
      <c r="BR40" s="273" t="s">
        <v>724</v>
      </c>
      <c r="BS40" s="273">
        <v>204</v>
      </c>
      <c r="BW40" s="10"/>
      <c r="BX40" s="10"/>
      <c r="CB40" s="274" t="b">
        <f t="shared" si="16"/>
        <v>0</v>
      </c>
      <c r="CC40" s="274" t="b">
        <f t="shared" si="17"/>
        <v>0</v>
      </c>
      <c r="CF40" s="272"/>
      <c r="CG40" s="143"/>
    </row>
    <row r="41" spans="1:85" x14ac:dyDescent="0.25">
      <c r="A41" s="273">
        <v>4</v>
      </c>
      <c r="D41" s="10"/>
      <c r="G41" s="274" t="b">
        <f t="shared" si="19"/>
        <v>0</v>
      </c>
      <c r="K41" s="143"/>
      <c r="L41" s="273" t="s">
        <v>195</v>
      </c>
      <c r="M41" s="273" t="s">
        <v>77</v>
      </c>
      <c r="O41" s="10"/>
      <c r="P41" s="10"/>
      <c r="R41" s="274" t="b">
        <f t="shared" si="20"/>
        <v>0</v>
      </c>
      <c r="S41" s="274" t="b">
        <f t="shared" si="21"/>
        <v>0</v>
      </c>
      <c r="U41" s="272"/>
      <c r="V41" s="143"/>
      <c r="W41" s="273" t="b">
        <v>0</v>
      </c>
      <c r="X41" s="273" t="s">
        <v>208</v>
      </c>
      <c r="Z41" s="10"/>
      <c r="AA41" s="10"/>
      <c r="AC41" s="274" t="b">
        <f>EXACT(W41,Z41)</f>
        <v>0</v>
      </c>
      <c r="AD41" s="274" t="b">
        <f>X41=AA41</f>
        <v>0</v>
      </c>
      <c r="AF41" s="272"/>
      <c r="AG41" s="143"/>
      <c r="AH41" s="7" t="s">
        <v>230</v>
      </c>
      <c r="AI41" s="273" t="s">
        <v>229</v>
      </c>
      <c r="AJ41" s="273" t="s">
        <v>229</v>
      </c>
      <c r="AK41" s="273" t="s">
        <v>229</v>
      </c>
      <c r="AL41" s="10"/>
      <c r="AM41" s="10"/>
      <c r="AN41" s="10"/>
      <c r="AP41" s="274" t="b">
        <f>EXACT(AI41,AL41)</f>
        <v>0</v>
      </c>
      <c r="AQ41" s="274" t="b">
        <f t="shared" ref="AQ41:AR49" si="22">EXACT(AJ41,AM41)</f>
        <v>0</v>
      </c>
      <c r="AR41" s="274" t="b">
        <f t="shared" si="22"/>
        <v>0</v>
      </c>
      <c r="AT41" s="272"/>
      <c r="AU41" s="143"/>
      <c r="AV41" s="273">
        <v>34</v>
      </c>
      <c r="AW41" s="273" t="s">
        <v>556</v>
      </c>
      <c r="AX41" s="273" t="s">
        <v>602</v>
      </c>
      <c r="AY41" s="273">
        <v>249</v>
      </c>
      <c r="AZ41" s="345">
        <v>44419</v>
      </c>
      <c r="BB41" s="10"/>
      <c r="BC41" s="10"/>
      <c r="BD41" s="10"/>
      <c r="BE41" s="10"/>
      <c r="BF41" s="344"/>
      <c r="BH41" s="274" t="b">
        <f t="shared" si="18"/>
        <v>0</v>
      </c>
      <c r="BI41" s="274" t="b">
        <f t="shared" si="15"/>
        <v>0</v>
      </c>
      <c r="BJ41" s="274" t="b">
        <f t="shared" si="15"/>
        <v>0</v>
      </c>
      <c r="BK41" s="274" t="b">
        <f t="shared" si="15"/>
        <v>0</v>
      </c>
      <c r="BL41" s="274" t="b">
        <f t="shared" si="15"/>
        <v>0</v>
      </c>
      <c r="BO41" s="272"/>
      <c r="BP41" s="143"/>
      <c r="BQ41" s="273" t="s">
        <v>723</v>
      </c>
      <c r="BR41" s="273" t="s">
        <v>724</v>
      </c>
      <c r="BS41" s="273">
        <v>492</v>
      </c>
      <c r="BW41" s="10"/>
      <c r="BX41" s="10"/>
      <c r="CB41" s="274" t="b">
        <f t="shared" si="16"/>
        <v>0</v>
      </c>
      <c r="CC41" s="274" t="b">
        <f t="shared" si="17"/>
        <v>0</v>
      </c>
      <c r="CF41" s="272"/>
      <c r="CG41" s="143"/>
    </row>
    <row r="42" spans="1:85" x14ac:dyDescent="0.25">
      <c r="A42" s="273">
        <v>5</v>
      </c>
      <c r="D42" s="10"/>
      <c r="G42" s="274" t="b">
        <f t="shared" si="19"/>
        <v>0</v>
      </c>
      <c r="K42" s="143"/>
      <c r="L42" s="273" t="s">
        <v>195</v>
      </c>
      <c r="M42" s="273" t="s">
        <v>82</v>
      </c>
      <c r="O42" s="10"/>
      <c r="P42" s="10"/>
      <c r="R42" s="274" t="b">
        <f t="shared" si="20"/>
        <v>0</v>
      </c>
      <c r="S42" s="274" t="b">
        <f t="shared" si="21"/>
        <v>0</v>
      </c>
      <c r="U42" s="272"/>
      <c r="V42" s="143"/>
      <c r="AF42" s="272"/>
      <c r="AG42" s="143"/>
      <c r="AH42" s="7" t="s">
        <v>231</v>
      </c>
      <c r="AI42" s="273">
        <v>11</v>
      </c>
      <c r="AJ42" s="273">
        <v>11</v>
      </c>
      <c r="AK42" s="273">
        <v>11</v>
      </c>
      <c r="AL42" s="10"/>
      <c r="AM42" s="10"/>
      <c r="AN42" s="10"/>
      <c r="AP42" s="274" t="b">
        <f t="shared" ref="AP42:AP49" si="23">EXACT(AI42,AL42)</f>
        <v>0</v>
      </c>
      <c r="AQ42" s="274" t="b">
        <f t="shared" si="22"/>
        <v>0</v>
      </c>
      <c r="AR42" s="274" t="b">
        <f t="shared" si="22"/>
        <v>0</v>
      </c>
      <c r="AT42" s="272"/>
      <c r="AU42" s="143"/>
      <c r="AV42" s="273">
        <v>13</v>
      </c>
      <c r="AW42" s="273" t="s">
        <v>556</v>
      </c>
      <c r="AX42" s="273" t="s">
        <v>582</v>
      </c>
      <c r="AY42" s="273">
        <v>671</v>
      </c>
      <c r="AZ42" s="345">
        <v>44168</v>
      </c>
      <c r="BB42" s="10"/>
      <c r="BC42" s="10"/>
      <c r="BD42" s="10"/>
      <c r="BE42" s="10"/>
      <c r="BF42" s="344"/>
      <c r="BH42" s="274" t="b">
        <f t="shared" si="18"/>
        <v>0</v>
      </c>
      <c r="BI42" s="274" t="b">
        <f t="shared" si="15"/>
        <v>0</v>
      </c>
      <c r="BJ42" s="274" t="b">
        <f t="shared" si="15"/>
        <v>0</v>
      </c>
      <c r="BK42" s="274" t="b">
        <f t="shared" si="15"/>
        <v>0</v>
      </c>
      <c r="BL42" s="274" t="b">
        <f t="shared" si="15"/>
        <v>0</v>
      </c>
      <c r="BO42" s="272"/>
      <c r="BP42" s="143"/>
      <c r="BQ42" s="273" t="s">
        <v>723</v>
      </c>
      <c r="BR42" s="273" t="s">
        <v>724</v>
      </c>
      <c r="BS42" s="273">
        <v>666</v>
      </c>
      <c r="BW42" s="10"/>
      <c r="BX42" s="10"/>
      <c r="CB42" s="274" t="b">
        <f t="shared" si="16"/>
        <v>0</v>
      </c>
      <c r="CC42" s="274" t="b">
        <f t="shared" si="17"/>
        <v>0</v>
      </c>
      <c r="CF42" s="272"/>
      <c r="CG42" s="143"/>
    </row>
    <row r="43" spans="1:85" x14ac:dyDescent="0.25">
      <c r="A43" s="273">
        <v>6</v>
      </c>
      <c r="D43" s="10"/>
      <c r="G43" s="274" t="b">
        <f t="shared" si="19"/>
        <v>0</v>
      </c>
      <c r="K43" s="143"/>
      <c r="L43" s="273" t="s">
        <v>195</v>
      </c>
      <c r="M43" s="273" t="s">
        <v>80</v>
      </c>
      <c r="O43" s="10"/>
      <c r="P43" s="10"/>
      <c r="R43" s="274" t="b">
        <f t="shared" si="20"/>
        <v>0</v>
      </c>
      <c r="S43" s="274" t="b">
        <f t="shared" si="21"/>
        <v>0</v>
      </c>
      <c r="U43" s="272"/>
      <c r="V43" s="143"/>
      <c r="AF43" s="272"/>
      <c r="AG43" s="143"/>
      <c r="AH43" s="7" t="s">
        <v>235</v>
      </c>
      <c r="AI43" s="273" t="b">
        <v>1</v>
      </c>
      <c r="AJ43" s="273" t="b">
        <v>0</v>
      </c>
      <c r="AK43" s="273" t="b">
        <v>0</v>
      </c>
      <c r="AL43" s="10"/>
      <c r="AM43" s="10"/>
      <c r="AN43" s="10"/>
      <c r="AP43" s="274" t="b">
        <f t="shared" si="23"/>
        <v>0</v>
      </c>
      <c r="AQ43" s="274" t="b">
        <f t="shared" si="22"/>
        <v>0</v>
      </c>
      <c r="AR43" s="274" t="b">
        <f t="shared" si="22"/>
        <v>0</v>
      </c>
      <c r="AT43" s="272"/>
      <c r="AU43" s="143"/>
      <c r="AV43" s="273">
        <v>5</v>
      </c>
      <c r="AW43" s="273" t="s">
        <v>556</v>
      </c>
      <c r="AX43" s="273" t="s">
        <v>574</v>
      </c>
      <c r="AY43" s="273">
        <v>2193</v>
      </c>
      <c r="AZ43" s="345">
        <v>44257</v>
      </c>
      <c r="BB43" s="10"/>
      <c r="BC43" s="10"/>
      <c r="BD43" s="10"/>
      <c r="BE43" s="10"/>
      <c r="BF43" s="344"/>
      <c r="BH43" s="274" t="b">
        <f t="shared" si="18"/>
        <v>0</v>
      </c>
      <c r="BI43" s="274" t="b">
        <f t="shared" si="15"/>
        <v>0</v>
      </c>
      <c r="BJ43" s="274" t="b">
        <f t="shared" si="15"/>
        <v>0</v>
      </c>
      <c r="BK43" s="274" t="b">
        <f t="shared" si="15"/>
        <v>0</v>
      </c>
      <c r="BL43" s="274" t="b">
        <f t="shared" si="15"/>
        <v>0</v>
      </c>
      <c r="BO43" s="272"/>
      <c r="BP43" s="143"/>
      <c r="CF43" s="272"/>
      <c r="CG43" s="143"/>
    </row>
    <row r="44" spans="1:85" x14ac:dyDescent="0.25">
      <c r="A44" s="273">
        <v>7</v>
      </c>
      <c r="D44" s="10"/>
      <c r="G44" s="274" t="b">
        <f t="shared" si="19"/>
        <v>0</v>
      </c>
      <c r="K44" s="143"/>
      <c r="L44" s="273" t="s">
        <v>195</v>
      </c>
      <c r="M44" s="273" t="s">
        <v>80</v>
      </c>
      <c r="O44" s="10"/>
      <c r="P44" s="10"/>
      <c r="R44" s="274" t="b">
        <f t="shared" si="20"/>
        <v>0</v>
      </c>
      <c r="S44" s="274" t="b">
        <f t="shared" si="21"/>
        <v>0</v>
      </c>
      <c r="U44" s="272"/>
      <c r="V44" s="143"/>
      <c r="AF44" s="272"/>
      <c r="AG44" s="143"/>
      <c r="AH44" s="7" t="s">
        <v>236</v>
      </c>
      <c r="AI44" s="273" t="b">
        <v>0</v>
      </c>
      <c r="AJ44" s="273" t="b">
        <v>0</v>
      </c>
      <c r="AK44" s="273" t="b">
        <v>0</v>
      </c>
      <c r="AL44" s="10"/>
      <c r="AM44" s="10"/>
      <c r="AN44" s="10"/>
      <c r="AP44" s="274" t="b">
        <f t="shared" si="23"/>
        <v>0</v>
      </c>
      <c r="AQ44" s="274" t="b">
        <f t="shared" si="22"/>
        <v>0</v>
      </c>
      <c r="AR44" s="274" t="b">
        <f t="shared" si="22"/>
        <v>0</v>
      </c>
      <c r="AT44" s="272"/>
      <c r="AU44" s="143"/>
      <c r="AV44" s="273">
        <v>10</v>
      </c>
      <c r="AW44" s="273" t="s">
        <v>556</v>
      </c>
      <c r="AX44" s="273" t="s">
        <v>579</v>
      </c>
      <c r="AY44" s="273">
        <v>512</v>
      </c>
      <c r="AZ44" s="345">
        <v>44789</v>
      </c>
      <c r="BB44" s="10"/>
      <c r="BC44" s="10"/>
      <c r="BD44" s="10"/>
      <c r="BE44" s="10"/>
      <c r="BF44" s="344"/>
      <c r="BH44" s="274" t="b">
        <f t="shared" si="18"/>
        <v>0</v>
      </c>
      <c r="BI44" s="274" t="b">
        <f t="shared" si="15"/>
        <v>0</v>
      </c>
      <c r="BJ44" s="274" t="b">
        <f t="shared" si="15"/>
        <v>0</v>
      </c>
      <c r="BK44" s="274" t="b">
        <f t="shared" si="15"/>
        <v>0</v>
      </c>
      <c r="BL44" s="274" t="b">
        <f t="shared" si="15"/>
        <v>0</v>
      </c>
      <c r="BO44" s="272"/>
      <c r="BP44" s="143"/>
      <c r="CF44" s="272"/>
      <c r="CG44" s="143"/>
    </row>
    <row r="45" spans="1:85" x14ac:dyDescent="0.25">
      <c r="A45" s="273">
        <v>8</v>
      </c>
      <c r="D45" s="10"/>
      <c r="G45" s="274" t="b">
        <f t="shared" si="19"/>
        <v>0</v>
      </c>
      <c r="K45" s="143"/>
      <c r="L45" s="273" t="s">
        <v>195</v>
      </c>
      <c r="M45" s="273" t="s">
        <v>77</v>
      </c>
      <c r="O45" s="10"/>
      <c r="P45" s="10"/>
      <c r="R45" s="274" t="b">
        <f t="shared" si="20"/>
        <v>0</v>
      </c>
      <c r="S45" s="274" t="b">
        <f t="shared" si="21"/>
        <v>0</v>
      </c>
      <c r="U45" s="272"/>
      <c r="V45" s="143"/>
      <c r="AF45" s="272"/>
      <c r="AG45" s="143"/>
      <c r="AH45" s="7" t="s">
        <v>232</v>
      </c>
      <c r="AI45" s="273">
        <v>6</v>
      </c>
      <c r="AJ45" s="273">
        <v>6</v>
      </c>
      <c r="AK45" s="273">
        <v>6</v>
      </c>
      <c r="AL45" s="10"/>
      <c r="AM45" s="10"/>
      <c r="AN45" s="10"/>
      <c r="AP45" s="274" t="b">
        <f t="shared" si="23"/>
        <v>0</v>
      </c>
      <c r="AQ45" s="274" t="b">
        <f t="shared" si="22"/>
        <v>0</v>
      </c>
      <c r="AR45" s="274" t="b">
        <f t="shared" si="22"/>
        <v>0</v>
      </c>
      <c r="AT45" s="272"/>
      <c r="AU45" s="143"/>
      <c r="AV45" s="273">
        <v>40</v>
      </c>
      <c r="AW45" s="273" t="s">
        <v>556</v>
      </c>
      <c r="AX45" s="273" t="s">
        <v>608</v>
      </c>
      <c r="AY45" s="273">
        <v>95</v>
      </c>
      <c r="AZ45" s="345">
        <v>45132</v>
      </c>
      <c r="BB45" s="10"/>
      <c r="BC45" s="10"/>
      <c r="BD45" s="10"/>
      <c r="BE45" s="10"/>
      <c r="BF45" s="344"/>
      <c r="BH45" s="274" t="b">
        <f t="shared" si="18"/>
        <v>0</v>
      </c>
      <c r="BI45" s="274" t="b">
        <f t="shared" ref="BI45:BI86" si="24">AW45=BC45</f>
        <v>0</v>
      </c>
      <c r="BJ45" s="274" t="b">
        <f t="shared" ref="BJ45:BJ86" si="25">AX45=BD45</f>
        <v>0</v>
      </c>
      <c r="BK45" s="274" t="b">
        <f t="shared" ref="BK45:BK86" si="26">AY45=BE45</f>
        <v>0</v>
      </c>
      <c r="BL45" s="274" t="b">
        <f t="shared" ref="BL45:BL86" si="27">AZ45=BF45</f>
        <v>0</v>
      </c>
      <c r="BO45" s="272"/>
      <c r="BP45" s="143"/>
      <c r="CF45" s="272"/>
      <c r="CG45" s="143"/>
    </row>
    <row r="46" spans="1:85" ht="15.75" x14ac:dyDescent="0.25">
      <c r="A46" s="273">
        <v>9</v>
      </c>
      <c r="D46" s="10"/>
      <c r="G46" s="274" t="b">
        <f t="shared" si="19"/>
        <v>0</v>
      </c>
      <c r="K46" s="143"/>
      <c r="L46" s="273" t="s">
        <v>195</v>
      </c>
      <c r="M46" s="273" t="s">
        <v>82</v>
      </c>
      <c r="O46" s="10"/>
      <c r="P46" s="10"/>
      <c r="R46" s="274" t="b">
        <f t="shared" si="20"/>
        <v>0</v>
      </c>
      <c r="S46" s="274" t="b">
        <f t="shared" si="21"/>
        <v>0</v>
      </c>
      <c r="U46" s="272"/>
      <c r="V46" s="143"/>
      <c r="AF46" s="272"/>
      <c r="AG46" s="143"/>
      <c r="AH46" s="7" t="s">
        <v>233</v>
      </c>
      <c r="AI46" s="273">
        <v>-0.249977111117893</v>
      </c>
      <c r="AJ46" s="273">
        <v>-0.249977111117893</v>
      </c>
      <c r="AK46" s="273">
        <v>-0.249977111117893</v>
      </c>
      <c r="AL46" s="10"/>
      <c r="AM46" s="10"/>
      <c r="AN46" s="10"/>
      <c r="AP46" s="274" t="b">
        <f t="shared" si="23"/>
        <v>0</v>
      </c>
      <c r="AQ46" s="274" t="b">
        <f t="shared" si="22"/>
        <v>0</v>
      </c>
      <c r="AR46" s="274" t="b">
        <f t="shared" si="22"/>
        <v>0</v>
      </c>
      <c r="AT46" s="272"/>
      <c r="AU46" s="143"/>
      <c r="AV46" s="273">
        <v>48</v>
      </c>
      <c r="AW46" s="273" t="s">
        <v>556</v>
      </c>
      <c r="AX46" s="273" t="s">
        <v>616</v>
      </c>
      <c r="AY46" s="273">
        <v>325</v>
      </c>
      <c r="AZ46" s="345">
        <v>44765</v>
      </c>
      <c r="BB46" s="10"/>
      <c r="BC46" s="10"/>
      <c r="BD46" s="10"/>
      <c r="BE46" s="10"/>
      <c r="BF46" s="344"/>
      <c r="BH46" s="274" t="b">
        <f t="shared" si="18"/>
        <v>0</v>
      </c>
      <c r="BI46" s="274" t="b">
        <f t="shared" si="24"/>
        <v>0</v>
      </c>
      <c r="BJ46" s="274" t="b">
        <f t="shared" si="25"/>
        <v>0</v>
      </c>
      <c r="BK46" s="274" t="b">
        <f t="shared" si="26"/>
        <v>0</v>
      </c>
      <c r="BL46" s="274" t="b">
        <f t="shared" si="27"/>
        <v>0</v>
      </c>
      <c r="BO46" s="272"/>
      <c r="BP46" s="143"/>
      <c r="BQ46" s="6" t="s">
        <v>43</v>
      </c>
      <c r="CE46" s="7">
        <f>COUNTA(CB48)</f>
        <v>1</v>
      </c>
      <c r="CF46" s="272"/>
      <c r="CG46" s="143"/>
    </row>
    <row r="47" spans="1:85" ht="15.75" x14ac:dyDescent="0.25">
      <c r="A47" s="273">
        <v>10</v>
      </c>
      <c r="D47" s="10"/>
      <c r="G47" s="274" t="b">
        <f t="shared" si="19"/>
        <v>0</v>
      </c>
      <c r="K47" s="143"/>
      <c r="L47" s="273" t="s">
        <v>195</v>
      </c>
      <c r="M47" s="273" t="s">
        <v>77</v>
      </c>
      <c r="O47" s="10"/>
      <c r="P47" s="10"/>
      <c r="R47" s="274" t="b">
        <f t="shared" si="20"/>
        <v>0</v>
      </c>
      <c r="S47" s="274" t="b">
        <f t="shared" si="21"/>
        <v>0</v>
      </c>
      <c r="U47" s="272"/>
      <c r="V47" s="143"/>
      <c r="AF47" s="272"/>
      <c r="AG47" s="143"/>
      <c r="AH47" s="7" t="s">
        <v>234</v>
      </c>
      <c r="AI47" s="273">
        <v>1</v>
      </c>
      <c r="AJ47" s="273">
        <v>1</v>
      </c>
      <c r="AK47" s="273">
        <v>1</v>
      </c>
      <c r="AL47" s="10"/>
      <c r="AM47" s="10"/>
      <c r="AN47" s="10"/>
      <c r="AP47" s="274" t="b">
        <f t="shared" si="23"/>
        <v>0</v>
      </c>
      <c r="AQ47" s="274" t="b">
        <f t="shared" si="22"/>
        <v>0</v>
      </c>
      <c r="AR47" s="274" t="b">
        <f t="shared" si="22"/>
        <v>0</v>
      </c>
      <c r="AT47" s="272"/>
      <c r="AU47" s="143"/>
      <c r="AV47" s="273">
        <v>53</v>
      </c>
      <c r="AW47" s="273" t="s">
        <v>556</v>
      </c>
      <c r="AX47" s="273" t="s">
        <v>621</v>
      </c>
      <c r="AY47" s="273">
        <v>64</v>
      </c>
      <c r="AZ47" s="345">
        <v>44978</v>
      </c>
      <c r="BB47" s="10"/>
      <c r="BC47" s="10"/>
      <c r="BD47" s="10"/>
      <c r="BE47" s="10"/>
      <c r="BF47" s="344"/>
      <c r="BH47" s="274" t="b">
        <f t="shared" si="18"/>
        <v>0</v>
      </c>
      <c r="BI47" s="274" t="b">
        <f t="shared" si="24"/>
        <v>0</v>
      </c>
      <c r="BJ47" s="274" t="b">
        <f t="shared" si="25"/>
        <v>0</v>
      </c>
      <c r="BK47" s="274" t="b">
        <f t="shared" si="26"/>
        <v>0</v>
      </c>
      <c r="BL47" s="274" t="b">
        <f t="shared" si="27"/>
        <v>0</v>
      </c>
      <c r="BO47" s="272"/>
      <c r="BP47" s="143"/>
      <c r="BR47" s="283" t="s">
        <v>28</v>
      </c>
      <c r="BW47" s="282" t="s">
        <v>29</v>
      </c>
      <c r="BX47"/>
      <c r="BY47"/>
      <c r="CB47" s="281" t="s">
        <v>30</v>
      </c>
      <c r="CF47" s="272"/>
      <c r="CG47" s="143"/>
    </row>
    <row r="48" spans="1:85" x14ac:dyDescent="0.25">
      <c r="A48" s="273">
        <v>11</v>
      </c>
      <c r="D48" s="10"/>
      <c r="G48" s="274" t="b">
        <f t="shared" si="19"/>
        <v>0</v>
      </c>
      <c r="K48" s="143"/>
      <c r="L48" s="273" t="s">
        <v>195</v>
      </c>
      <c r="M48" s="273" t="s">
        <v>80</v>
      </c>
      <c r="O48" s="10"/>
      <c r="P48" s="10"/>
      <c r="R48" s="274" t="b">
        <f t="shared" si="20"/>
        <v>0</v>
      </c>
      <c r="S48" s="274" t="b">
        <f t="shared" si="21"/>
        <v>0</v>
      </c>
      <c r="U48" s="272"/>
      <c r="V48" s="143"/>
      <c r="AF48" s="272"/>
      <c r="AG48" s="143"/>
      <c r="AH48" s="7" t="s">
        <v>237</v>
      </c>
      <c r="AI48" s="273">
        <v>-4142</v>
      </c>
      <c r="AJ48" s="273">
        <v>6</v>
      </c>
      <c r="AK48" s="273">
        <v>-4142</v>
      </c>
      <c r="AL48" s="10"/>
      <c r="AM48" s="10"/>
      <c r="AN48" s="10"/>
      <c r="AP48" s="274" t="b">
        <f t="shared" si="23"/>
        <v>0</v>
      </c>
      <c r="AQ48" s="274" t="b">
        <f t="shared" si="22"/>
        <v>0</v>
      </c>
      <c r="AR48" s="274" t="b">
        <f t="shared" si="22"/>
        <v>0</v>
      </c>
      <c r="AT48" s="272"/>
      <c r="AU48" s="143"/>
      <c r="AV48" s="273">
        <v>33</v>
      </c>
      <c r="AW48" s="273" t="s">
        <v>556</v>
      </c>
      <c r="AX48" s="273" t="s">
        <v>601</v>
      </c>
      <c r="AY48" s="273">
        <v>108</v>
      </c>
      <c r="AZ48" s="345">
        <v>44635</v>
      </c>
      <c r="BB48" s="10"/>
      <c r="BC48" s="10"/>
      <c r="BD48" s="10"/>
      <c r="BE48" s="10"/>
      <c r="BF48" s="344"/>
      <c r="BH48" s="274" t="b">
        <f t="shared" si="18"/>
        <v>0</v>
      </c>
      <c r="BI48" s="274" t="b">
        <f t="shared" si="24"/>
        <v>0</v>
      </c>
      <c r="BJ48" s="274" t="b">
        <f t="shared" si="25"/>
        <v>0</v>
      </c>
      <c r="BK48" s="274" t="b">
        <f t="shared" si="26"/>
        <v>0</v>
      </c>
      <c r="BL48" s="274" t="b">
        <f t="shared" si="27"/>
        <v>0</v>
      </c>
      <c r="BO48" s="272"/>
      <c r="BP48" s="143"/>
      <c r="BQ48" s="7" t="s">
        <v>277</v>
      </c>
      <c r="BR48" s="273">
        <v>12</v>
      </c>
      <c r="BW48" s="10"/>
      <c r="BX48"/>
      <c r="BY48"/>
      <c r="CB48" s="274" t="b">
        <f>BR48=BW48</f>
        <v>0</v>
      </c>
      <c r="CF48" s="272"/>
      <c r="CG48" s="143"/>
    </row>
    <row r="49" spans="1:85" x14ac:dyDescent="0.25">
      <c r="A49" s="273">
        <v>12</v>
      </c>
      <c r="D49" s="10"/>
      <c r="G49" s="274" t="b">
        <f t="shared" si="19"/>
        <v>0</v>
      </c>
      <c r="K49" s="143"/>
      <c r="L49" s="273" t="s">
        <v>195</v>
      </c>
      <c r="M49" s="273" t="s">
        <v>77</v>
      </c>
      <c r="O49" s="10"/>
      <c r="P49" s="10"/>
      <c r="R49" s="274" t="b">
        <f t="shared" si="20"/>
        <v>0</v>
      </c>
      <c r="S49" s="274" t="b">
        <f t="shared" si="21"/>
        <v>0</v>
      </c>
      <c r="U49" s="272"/>
      <c r="V49" s="143"/>
      <c r="AF49" s="272"/>
      <c r="AG49" s="143"/>
      <c r="AH49" s="7" t="s">
        <v>238</v>
      </c>
      <c r="AI49" s="273">
        <v>0</v>
      </c>
      <c r="AJ49" s="273">
        <v>0.79998168889431442</v>
      </c>
      <c r="AK49" s="273">
        <v>0</v>
      </c>
      <c r="AL49" s="10"/>
      <c r="AM49" s="10"/>
      <c r="AN49" s="10"/>
      <c r="AP49" s="274" t="b">
        <f t="shared" si="23"/>
        <v>0</v>
      </c>
      <c r="AQ49" s="274" t="b">
        <f t="shared" si="22"/>
        <v>0</v>
      </c>
      <c r="AR49" s="274" t="b">
        <f t="shared" si="22"/>
        <v>0</v>
      </c>
      <c r="AT49" s="272"/>
      <c r="AU49" s="143"/>
      <c r="AV49" s="273">
        <v>7</v>
      </c>
      <c r="AW49" s="273" t="s">
        <v>556</v>
      </c>
      <c r="AX49" s="273" t="s">
        <v>576</v>
      </c>
      <c r="AY49" s="273">
        <v>3527</v>
      </c>
      <c r="AZ49" s="345">
        <v>45216</v>
      </c>
      <c r="BB49" s="10"/>
      <c r="BC49" s="10"/>
      <c r="BD49" s="10"/>
      <c r="BE49" s="10"/>
      <c r="BF49" s="344"/>
      <c r="BH49" s="274" t="b">
        <f t="shared" si="18"/>
        <v>0</v>
      </c>
      <c r="BI49" s="274" t="b">
        <f t="shared" si="24"/>
        <v>0</v>
      </c>
      <c r="BJ49" s="274" t="b">
        <f t="shared" si="25"/>
        <v>0</v>
      </c>
      <c r="BK49" s="274" t="b">
        <f t="shared" si="26"/>
        <v>0</v>
      </c>
      <c r="BL49" s="274" t="b">
        <f t="shared" si="27"/>
        <v>0</v>
      </c>
      <c r="BO49" s="272"/>
      <c r="BP49" s="143"/>
      <c r="CF49" s="272"/>
      <c r="CG49" s="143"/>
    </row>
    <row r="50" spans="1:85" x14ac:dyDescent="0.25">
      <c r="A50" s="273">
        <v>13</v>
      </c>
      <c r="D50" s="10"/>
      <c r="G50" s="274" t="b">
        <f t="shared" si="19"/>
        <v>0</v>
      </c>
      <c r="K50" s="143"/>
      <c r="L50" s="273" t="s">
        <v>195</v>
      </c>
      <c r="M50" s="273" t="s">
        <v>82</v>
      </c>
      <c r="O50" s="10"/>
      <c r="P50" s="10"/>
      <c r="R50" s="274" t="b">
        <f t="shared" si="20"/>
        <v>0</v>
      </c>
      <c r="S50" s="274" t="b">
        <f t="shared" si="21"/>
        <v>0</v>
      </c>
      <c r="U50" s="272"/>
      <c r="V50" s="143"/>
      <c r="AF50" s="272"/>
      <c r="AG50" s="143"/>
      <c r="AI50"/>
      <c r="AJ50"/>
      <c r="AK50"/>
      <c r="AL50"/>
      <c r="AM50"/>
      <c r="AN50"/>
      <c r="AO50"/>
      <c r="AP50"/>
      <c r="AQ50"/>
      <c r="AR50"/>
      <c r="AT50" s="272"/>
      <c r="AU50" s="143"/>
      <c r="AV50" s="273">
        <v>9</v>
      </c>
      <c r="AW50" s="273" t="s">
        <v>556</v>
      </c>
      <c r="AX50" s="273" t="s">
        <v>578</v>
      </c>
      <c r="AY50" s="273">
        <v>624</v>
      </c>
      <c r="AZ50" s="345">
        <v>44436</v>
      </c>
      <c r="BB50" s="10"/>
      <c r="BC50" s="10"/>
      <c r="BD50" s="10"/>
      <c r="BE50" s="10"/>
      <c r="BF50" s="344"/>
      <c r="BH50" s="274" t="b">
        <f t="shared" si="18"/>
        <v>0</v>
      </c>
      <c r="BI50" s="274" t="b">
        <f t="shared" si="24"/>
        <v>0</v>
      </c>
      <c r="BJ50" s="274" t="b">
        <f t="shared" si="25"/>
        <v>0</v>
      </c>
      <c r="BK50" s="274" t="b">
        <f t="shared" si="26"/>
        <v>0</v>
      </c>
      <c r="BL50" s="274" t="b">
        <f t="shared" si="27"/>
        <v>0</v>
      </c>
      <c r="BO50" s="272"/>
      <c r="BP50" s="143"/>
      <c r="CF50" s="272"/>
      <c r="CG50" s="143"/>
    </row>
    <row r="51" spans="1:85" x14ac:dyDescent="0.25">
      <c r="A51" s="273">
        <v>14</v>
      </c>
      <c r="D51" s="10"/>
      <c r="G51" s="274" t="b">
        <f t="shared" si="19"/>
        <v>0</v>
      </c>
      <c r="K51" s="143"/>
      <c r="U51" s="272"/>
      <c r="V51" s="143"/>
      <c r="AF51" s="272"/>
      <c r="AG51" s="143"/>
      <c r="AI51"/>
      <c r="AJ51"/>
      <c r="AK51"/>
      <c r="AL51"/>
      <c r="AM51"/>
      <c r="AN51"/>
      <c r="AO51"/>
      <c r="AP51"/>
      <c r="AQ51"/>
      <c r="AR51"/>
      <c r="AT51" s="272"/>
      <c r="AU51" s="143"/>
      <c r="AV51" s="273">
        <v>30</v>
      </c>
      <c r="AW51" s="273" t="s">
        <v>556</v>
      </c>
      <c r="AX51" s="273" t="s">
        <v>594</v>
      </c>
      <c r="AY51" s="273">
        <v>155</v>
      </c>
      <c r="AZ51" s="345">
        <v>44236</v>
      </c>
      <c r="BB51" s="10"/>
      <c r="BC51" s="10"/>
      <c r="BD51" s="10"/>
      <c r="BE51" s="10"/>
      <c r="BF51" s="344"/>
      <c r="BH51" s="274" t="b">
        <f t="shared" si="18"/>
        <v>0</v>
      </c>
      <c r="BI51" s="274" t="b">
        <f t="shared" si="24"/>
        <v>0</v>
      </c>
      <c r="BJ51" s="274" t="b">
        <f t="shared" si="25"/>
        <v>0</v>
      </c>
      <c r="BK51" s="274" t="b">
        <f t="shared" si="26"/>
        <v>0</v>
      </c>
      <c r="BL51" s="274" t="b">
        <f t="shared" si="27"/>
        <v>0</v>
      </c>
      <c r="BO51" s="272"/>
      <c r="BP51" s="143"/>
      <c r="CF51" s="272"/>
      <c r="CG51" s="143"/>
    </row>
    <row r="52" spans="1:85" x14ac:dyDescent="0.25">
      <c r="A52" s="273">
        <v>15</v>
      </c>
      <c r="D52" s="10"/>
      <c r="G52" s="274" t="b">
        <f t="shared" si="19"/>
        <v>0</v>
      </c>
      <c r="K52" s="143"/>
      <c r="U52" s="272"/>
      <c r="V52" s="143"/>
      <c r="AF52" s="272"/>
      <c r="AG52" s="143"/>
      <c r="AI52"/>
      <c r="AJ52"/>
      <c r="AK52"/>
      <c r="AL52"/>
      <c r="AM52"/>
      <c r="AN52"/>
      <c r="AO52"/>
      <c r="AP52"/>
      <c r="AQ52"/>
      <c r="AR52"/>
      <c r="AT52" s="272"/>
      <c r="AU52" s="143"/>
      <c r="AV52" s="273">
        <v>3</v>
      </c>
      <c r="AW52" s="273" t="s">
        <v>556</v>
      </c>
      <c r="AX52" s="273" t="s">
        <v>572</v>
      </c>
      <c r="AY52" s="273">
        <v>3216</v>
      </c>
      <c r="AZ52" s="345">
        <v>44723</v>
      </c>
      <c r="BB52" s="10"/>
      <c r="BC52" s="10"/>
      <c r="BD52" s="10"/>
      <c r="BE52" s="10"/>
      <c r="BF52" s="344"/>
      <c r="BH52" s="274" t="b">
        <f t="shared" si="18"/>
        <v>0</v>
      </c>
      <c r="BI52" s="274" t="b">
        <f t="shared" si="24"/>
        <v>0</v>
      </c>
      <c r="BJ52" s="274" t="b">
        <f t="shared" si="25"/>
        <v>0</v>
      </c>
      <c r="BK52" s="274" t="b">
        <f t="shared" si="26"/>
        <v>0</v>
      </c>
      <c r="BL52" s="274" t="b">
        <f t="shared" si="27"/>
        <v>0</v>
      </c>
      <c r="BO52" s="272"/>
      <c r="BP52" s="143"/>
      <c r="CF52" s="272"/>
      <c r="CG52" s="143"/>
    </row>
    <row r="53" spans="1:85" ht="15.75" x14ac:dyDescent="0.25">
      <c r="A53" s="273">
        <v>16</v>
      </c>
      <c r="D53" s="10"/>
      <c r="G53" s="274" t="b">
        <f t="shared" si="19"/>
        <v>0</v>
      </c>
      <c r="K53" s="143"/>
      <c r="U53" s="272"/>
      <c r="V53" s="143"/>
      <c r="AF53" s="272"/>
      <c r="AG53" s="143"/>
      <c r="AH53" s="6" t="s">
        <v>43</v>
      </c>
      <c r="AI53"/>
      <c r="AJ53"/>
      <c r="AK53"/>
      <c r="AL53"/>
      <c r="AM53"/>
      <c r="AN53"/>
      <c r="AO53"/>
      <c r="AP53"/>
      <c r="AQ53"/>
      <c r="AR53"/>
      <c r="AS53" s="7">
        <f>COUNTA(AP56:AQ56)</f>
        <v>2</v>
      </c>
      <c r="AT53" s="272"/>
      <c r="AU53" s="143"/>
      <c r="AV53" s="273">
        <v>4</v>
      </c>
      <c r="AW53" s="273" t="s">
        <v>556</v>
      </c>
      <c r="AX53" s="273" t="s">
        <v>573</v>
      </c>
      <c r="AY53" s="273">
        <v>1656</v>
      </c>
      <c r="AZ53" s="345">
        <v>44223</v>
      </c>
      <c r="BB53" s="10"/>
      <c r="BC53" s="10"/>
      <c r="BD53" s="10"/>
      <c r="BE53" s="10"/>
      <c r="BF53" s="344"/>
      <c r="BH53" s="274" t="b">
        <f t="shared" si="18"/>
        <v>0</v>
      </c>
      <c r="BI53" s="274" t="b">
        <f t="shared" si="24"/>
        <v>0</v>
      </c>
      <c r="BJ53" s="274" t="b">
        <f t="shared" si="25"/>
        <v>0</v>
      </c>
      <c r="BK53" s="274" t="b">
        <f t="shared" si="26"/>
        <v>0</v>
      </c>
      <c r="BL53" s="274" t="b">
        <f t="shared" si="27"/>
        <v>0</v>
      </c>
      <c r="BO53" s="272"/>
      <c r="BP53" s="143"/>
      <c r="CF53" s="272"/>
      <c r="CG53" s="143"/>
    </row>
    <row r="54" spans="1:85" ht="15.75" x14ac:dyDescent="0.25">
      <c r="A54" s="273">
        <v>17</v>
      </c>
      <c r="D54" s="10"/>
      <c r="G54" s="274" t="b">
        <f t="shared" si="19"/>
        <v>0</v>
      </c>
      <c r="K54" s="143"/>
      <c r="U54" s="272"/>
      <c r="V54" s="143"/>
      <c r="AF54" s="272"/>
      <c r="AG54" s="143"/>
      <c r="AH54" s="373" t="s">
        <v>28</v>
      </c>
      <c r="AI54" s="375"/>
      <c r="AJ54"/>
      <c r="AL54" s="378" t="s">
        <v>29</v>
      </c>
      <c r="AM54" s="379"/>
      <c r="AN54"/>
      <c r="AP54" s="376" t="s">
        <v>30</v>
      </c>
      <c r="AQ54" s="377"/>
      <c r="AR54"/>
      <c r="AT54" s="272"/>
      <c r="AU54" s="143"/>
      <c r="AV54" s="273">
        <v>11</v>
      </c>
      <c r="AW54" s="273" t="s">
        <v>556</v>
      </c>
      <c r="AX54" s="273" t="s">
        <v>580</v>
      </c>
      <c r="AY54" s="273">
        <v>488</v>
      </c>
      <c r="AZ54" s="345">
        <v>44830</v>
      </c>
      <c r="BB54" s="10"/>
      <c r="BC54" s="10"/>
      <c r="BD54" s="10"/>
      <c r="BE54" s="10"/>
      <c r="BF54" s="344"/>
      <c r="BH54" s="274" t="b">
        <f t="shared" si="18"/>
        <v>0</v>
      </c>
      <c r="BI54" s="274" t="b">
        <f t="shared" si="24"/>
        <v>0</v>
      </c>
      <c r="BJ54" s="274" t="b">
        <f t="shared" si="25"/>
        <v>0</v>
      </c>
      <c r="BK54" s="274" t="b">
        <f t="shared" si="26"/>
        <v>0</v>
      </c>
      <c r="BL54" s="274" t="b">
        <f t="shared" si="27"/>
        <v>0</v>
      </c>
      <c r="BO54" s="272"/>
      <c r="BP54" s="143"/>
      <c r="CF54" s="272"/>
      <c r="CG54" s="143"/>
    </row>
    <row r="55" spans="1:85" ht="15.75" x14ac:dyDescent="0.25">
      <c r="A55" s="273">
        <v>18</v>
      </c>
      <c r="D55" s="10"/>
      <c r="G55" s="274" t="b">
        <f t="shared" si="19"/>
        <v>0</v>
      </c>
      <c r="K55" s="143"/>
      <c r="L55" s="6" t="s">
        <v>43</v>
      </c>
      <c r="M55" s="7">
        <f>P2_backup!B38</f>
        <v>0</v>
      </c>
      <c r="T55" s="7">
        <f>COUNTA(R57:T58)</f>
        <v>1</v>
      </c>
      <c r="U55" s="272"/>
      <c r="V55" s="143"/>
      <c r="AF55" s="272"/>
      <c r="AG55" s="143"/>
      <c r="AH55" s="264" t="s">
        <v>249</v>
      </c>
      <c r="AI55" s="264" t="s">
        <v>250</v>
      </c>
      <c r="AJ55"/>
      <c r="AK55" s="104"/>
      <c r="AL55" s="263" t="s">
        <v>249</v>
      </c>
      <c r="AM55" s="263" t="s">
        <v>250</v>
      </c>
      <c r="AN55"/>
      <c r="AO55" s="104"/>
      <c r="AP55" s="262" t="s">
        <v>249</v>
      </c>
      <c r="AQ55" s="262" t="s">
        <v>250</v>
      </c>
      <c r="AT55" s="272"/>
      <c r="AU55" s="143"/>
      <c r="AV55" s="273">
        <v>2</v>
      </c>
      <c r="AW55" s="273" t="s">
        <v>556</v>
      </c>
      <c r="AX55" s="273" t="s">
        <v>571</v>
      </c>
      <c r="AY55" s="273">
        <v>1889</v>
      </c>
      <c r="AZ55" s="345">
        <v>44782</v>
      </c>
      <c r="BB55" s="10"/>
      <c r="BC55" s="10"/>
      <c r="BD55" s="10"/>
      <c r="BE55" s="10"/>
      <c r="BF55" s="344"/>
      <c r="BH55" s="274" t="b">
        <f t="shared" si="18"/>
        <v>0</v>
      </c>
      <c r="BI55" s="274" t="b">
        <f t="shared" si="24"/>
        <v>0</v>
      </c>
      <c r="BJ55" s="274" t="b">
        <f t="shared" si="25"/>
        <v>0</v>
      </c>
      <c r="BK55" s="274" t="b">
        <f t="shared" si="26"/>
        <v>0</v>
      </c>
      <c r="BL55" s="274" t="b">
        <f t="shared" si="27"/>
        <v>0</v>
      </c>
      <c r="BO55" s="272"/>
      <c r="BP55" s="143"/>
      <c r="CF55" s="272"/>
      <c r="CG55" s="143"/>
    </row>
    <row r="56" spans="1:85" ht="15.75" x14ac:dyDescent="0.25">
      <c r="A56" s="273">
        <v>19</v>
      </c>
      <c r="D56" s="10"/>
      <c r="G56" s="274" t="b">
        <f t="shared" si="19"/>
        <v>0</v>
      </c>
      <c r="K56" s="143"/>
      <c r="L56" s="8" t="s">
        <v>28</v>
      </c>
      <c r="O56" s="11" t="s">
        <v>29</v>
      </c>
      <c r="R56" s="17" t="s">
        <v>30</v>
      </c>
      <c r="U56" s="272"/>
      <c r="V56" s="143"/>
      <c r="AF56" s="272"/>
      <c r="AG56" s="143"/>
      <c r="AH56" s="273" t="s">
        <v>718</v>
      </c>
      <c r="AI56" s="273">
        <v>0</v>
      </c>
      <c r="AJ56"/>
      <c r="AL56" s="10"/>
      <c r="AM56" s="10"/>
      <c r="AN56"/>
      <c r="AP56" s="274" t="b">
        <f>EXACT(AH56,AL56)</f>
        <v>0</v>
      </c>
      <c r="AQ56" s="274" t="b">
        <f>EXACT(AI56,AM56)</f>
        <v>0</v>
      </c>
      <c r="AT56" s="272"/>
      <c r="AU56" s="143"/>
      <c r="AV56" s="273">
        <v>18</v>
      </c>
      <c r="AW56" s="273" t="s">
        <v>554</v>
      </c>
      <c r="AX56" s="273" t="s">
        <v>587</v>
      </c>
      <c r="AY56" s="273">
        <v>129</v>
      </c>
      <c r="AZ56" s="345">
        <v>44101</v>
      </c>
      <c r="BB56" s="10"/>
      <c r="BC56" s="10"/>
      <c r="BD56" s="10"/>
      <c r="BE56" s="10"/>
      <c r="BF56" s="344"/>
      <c r="BH56" s="274" t="b">
        <f t="shared" si="18"/>
        <v>0</v>
      </c>
      <c r="BI56" s="274" t="b">
        <f t="shared" si="24"/>
        <v>0</v>
      </c>
      <c r="BJ56" s="274" t="b">
        <f t="shared" si="25"/>
        <v>0</v>
      </c>
      <c r="BK56" s="274" t="b">
        <f t="shared" si="26"/>
        <v>0</v>
      </c>
      <c r="BL56" s="274" t="b">
        <f t="shared" si="27"/>
        <v>0</v>
      </c>
      <c r="BO56" s="272"/>
      <c r="BP56" s="143"/>
      <c r="CF56" s="272"/>
      <c r="CG56" s="143"/>
    </row>
    <row r="57" spans="1:85" x14ac:dyDescent="0.25">
      <c r="A57" s="273">
        <v>20</v>
      </c>
      <c r="D57" s="10"/>
      <c r="G57" s="274" t="b">
        <f t="shared" si="19"/>
        <v>0</v>
      </c>
      <c r="K57" s="143"/>
      <c r="L57" s="276" t="s">
        <v>196</v>
      </c>
      <c r="O57" s="10"/>
      <c r="R57" s="274" t="b">
        <f>EXACT(L57,O57)</f>
        <v>0</v>
      </c>
      <c r="U57" s="272"/>
      <c r="V57" s="143"/>
      <c r="AF57" s="272"/>
      <c r="AG57" s="143"/>
      <c r="AJ57"/>
      <c r="AN57"/>
      <c r="AT57" s="272"/>
      <c r="AU57" s="143"/>
      <c r="AV57" s="273">
        <v>36</v>
      </c>
      <c r="AW57" s="273" t="s">
        <v>554</v>
      </c>
      <c r="AX57" s="273" t="s">
        <v>604</v>
      </c>
      <c r="AY57" s="273">
        <v>92</v>
      </c>
      <c r="AZ57" s="345">
        <v>44458</v>
      </c>
      <c r="BB57" s="10"/>
      <c r="BC57" s="10"/>
      <c r="BD57" s="10"/>
      <c r="BE57" s="10"/>
      <c r="BF57" s="344"/>
      <c r="BH57" s="274" t="b">
        <f t="shared" si="18"/>
        <v>0</v>
      </c>
      <c r="BI57" s="274" t="b">
        <f t="shared" si="24"/>
        <v>0</v>
      </c>
      <c r="BJ57" s="274" t="b">
        <f t="shared" si="25"/>
        <v>0</v>
      </c>
      <c r="BK57" s="274" t="b">
        <f t="shared" si="26"/>
        <v>0</v>
      </c>
      <c r="BL57" s="274" t="b">
        <f t="shared" si="27"/>
        <v>0</v>
      </c>
      <c r="BO57" s="272"/>
      <c r="BP57" s="143"/>
      <c r="CF57" s="272"/>
      <c r="CG57" s="143"/>
    </row>
    <row r="58" spans="1:85" x14ac:dyDescent="0.25">
      <c r="A58" s="273">
        <v>21</v>
      </c>
      <c r="D58" s="10"/>
      <c r="G58" s="274" t="b">
        <f t="shared" si="19"/>
        <v>0</v>
      </c>
      <c r="K58" s="143"/>
      <c r="U58" s="272"/>
      <c r="V58" s="143"/>
      <c r="AF58" s="272"/>
      <c r="AG58" s="143"/>
      <c r="AT58" s="272"/>
      <c r="AU58" s="143"/>
      <c r="AV58" s="273">
        <v>1</v>
      </c>
      <c r="AW58" s="273" t="s">
        <v>554</v>
      </c>
      <c r="AX58" s="273" t="s">
        <v>570</v>
      </c>
      <c r="AY58" s="273">
        <v>948</v>
      </c>
      <c r="AZ58" s="345">
        <v>45043</v>
      </c>
      <c r="BB58" s="10"/>
      <c r="BC58" s="10"/>
      <c r="BD58" s="10"/>
      <c r="BE58" s="10"/>
      <c r="BF58" s="344"/>
      <c r="BH58" s="274" t="b">
        <f t="shared" si="18"/>
        <v>0</v>
      </c>
      <c r="BI58" s="274" t="b">
        <f t="shared" si="24"/>
        <v>0</v>
      </c>
      <c r="BJ58" s="274" t="b">
        <f t="shared" si="25"/>
        <v>0</v>
      </c>
      <c r="BK58" s="274" t="b">
        <f t="shared" si="26"/>
        <v>0</v>
      </c>
      <c r="BL58" s="274" t="b">
        <f t="shared" si="27"/>
        <v>0</v>
      </c>
      <c r="BO58" s="272"/>
      <c r="BP58" s="143"/>
      <c r="CF58" s="272"/>
      <c r="CG58" s="143"/>
    </row>
    <row r="59" spans="1:85" x14ac:dyDescent="0.25">
      <c r="A59" s="273">
        <v>22</v>
      </c>
      <c r="D59" s="10"/>
      <c r="G59" s="274" t="b">
        <f t="shared" si="19"/>
        <v>0</v>
      </c>
      <c r="K59" s="143"/>
      <c r="U59" s="272"/>
      <c r="V59" s="143"/>
      <c r="AF59" s="272"/>
      <c r="AG59" s="143"/>
      <c r="AT59" s="272"/>
      <c r="AU59" s="143"/>
      <c r="AV59" s="273">
        <v>28</v>
      </c>
      <c r="AW59" s="273" t="s">
        <v>554</v>
      </c>
      <c r="AX59" s="273" t="s">
        <v>597</v>
      </c>
      <c r="AY59" s="273">
        <v>268</v>
      </c>
      <c r="AZ59" s="345">
        <v>44621</v>
      </c>
      <c r="BB59" s="10"/>
      <c r="BC59" s="10"/>
      <c r="BD59" s="10"/>
      <c r="BE59" s="10"/>
      <c r="BF59" s="344"/>
      <c r="BH59" s="274" t="b">
        <f t="shared" si="18"/>
        <v>0</v>
      </c>
      <c r="BI59" s="274" t="b">
        <f t="shared" si="24"/>
        <v>0</v>
      </c>
      <c r="BJ59" s="274" t="b">
        <f t="shared" si="25"/>
        <v>0</v>
      </c>
      <c r="BK59" s="274" t="b">
        <f t="shared" si="26"/>
        <v>0</v>
      </c>
      <c r="BL59" s="274" t="b">
        <f t="shared" si="27"/>
        <v>0</v>
      </c>
      <c r="BO59" s="272"/>
      <c r="BP59" s="143"/>
      <c r="CF59" s="272"/>
      <c r="CG59" s="143"/>
    </row>
    <row r="60" spans="1:85" ht="15.75" x14ac:dyDescent="0.25">
      <c r="A60" s="273">
        <v>23</v>
      </c>
      <c r="D60" s="10"/>
      <c r="G60" s="274" t="b">
        <f t="shared" si="19"/>
        <v>0</v>
      </c>
      <c r="K60" s="143"/>
      <c r="U60" s="272"/>
      <c r="V60" s="143"/>
      <c r="AF60" s="272"/>
      <c r="AG60" s="143"/>
      <c r="AH60" s="6" t="s">
        <v>54</v>
      </c>
      <c r="AS60" s="7">
        <f>COUNTA(AP62:AR62)</f>
        <v>1</v>
      </c>
      <c r="AT60" s="272"/>
      <c r="AU60" s="143"/>
      <c r="AV60" s="273">
        <v>12</v>
      </c>
      <c r="AW60" s="273" t="s">
        <v>554</v>
      </c>
      <c r="AX60" s="273" t="s">
        <v>581</v>
      </c>
      <c r="AY60" s="273">
        <v>194</v>
      </c>
      <c r="AZ60" s="345">
        <v>43866</v>
      </c>
      <c r="BB60" s="10"/>
      <c r="BC60" s="10"/>
      <c r="BD60" s="10"/>
      <c r="BE60" s="10"/>
      <c r="BF60" s="344"/>
      <c r="BH60" s="274" t="b">
        <f t="shared" si="18"/>
        <v>0</v>
      </c>
      <c r="BI60" s="274" t="b">
        <f t="shared" si="24"/>
        <v>0</v>
      </c>
      <c r="BJ60" s="274" t="b">
        <f t="shared" si="25"/>
        <v>0</v>
      </c>
      <c r="BK60" s="274" t="b">
        <f t="shared" si="26"/>
        <v>0</v>
      </c>
      <c r="BL60" s="274" t="b">
        <f t="shared" si="27"/>
        <v>0</v>
      </c>
      <c r="BO60" s="272"/>
      <c r="BP60" s="143"/>
      <c r="CF60" s="272"/>
      <c r="CG60" s="143"/>
    </row>
    <row r="61" spans="1:85" ht="15.75" x14ac:dyDescent="0.25">
      <c r="A61" s="273">
        <v>24</v>
      </c>
      <c r="D61" s="10"/>
      <c r="G61" s="274" t="b">
        <f t="shared" si="19"/>
        <v>0</v>
      </c>
      <c r="K61" s="143"/>
      <c r="U61" s="272"/>
      <c r="V61" s="143"/>
      <c r="AF61" s="272"/>
      <c r="AG61" s="143"/>
      <c r="AH61" s="283" t="s">
        <v>28</v>
      </c>
      <c r="AL61" s="282" t="s">
        <v>29</v>
      </c>
      <c r="AP61" s="281" t="s">
        <v>30</v>
      </c>
      <c r="AT61" s="272"/>
      <c r="AU61" s="143"/>
      <c r="AV61" s="273">
        <v>42</v>
      </c>
      <c r="AW61" s="273" t="s">
        <v>554</v>
      </c>
      <c r="AX61" s="273" t="s">
        <v>610</v>
      </c>
      <c r="AY61" s="273">
        <v>72</v>
      </c>
      <c r="AZ61" s="345">
        <v>44468</v>
      </c>
      <c r="BB61" s="10"/>
      <c r="BC61" s="10"/>
      <c r="BD61" s="10"/>
      <c r="BE61" s="10"/>
      <c r="BF61" s="344"/>
      <c r="BH61" s="274" t="b">
        <f t="shared" si="18"/>
        <v>0</v>
      </c>
      <c r="BI61" s="274" t="b">
        <f t="shared" si="24"/>
        <v>0</v>
      </c>
      <c r="BJ61" s="274" t="b">
        <f t="shared" si="25"/>
        <v>0</v>
      </c>
      <c r="BK61" s="274" t="b">
        <f t="shared" si="26"/>
        <v>0</v>
      </c>
      <c r="BL61" s="274" t="b">
        <f t="shared" si="27"/>
        <v>0</v>
      </c>
      <c r="BO61" s="272"/>
      <c r="BP61" s="143"/>
      <c r="CF61" s="272"/>
      <c r="CG61" s="143"/>
    </row>
    <row r="62" spans="1:85" x14ac:dyDescent="0.25">
      <c r="A62" s="273">
        <v>25</v>
      </c>
      <c r="D62" s="10"/>
      <c r="G62" s="274" t="b">
        <f t="shared" si="19"/>
        <v>0</v>
      </c>
      <c r="K62" s="143"/>
      <c r="U62" s="272"/>
      <c r="V62" s="143"/>
      <c r="AF62" s="272"/>
      <c r="AG62" s="143"/>
      <c r="AH62" s="273" t="s">
        <v>251</v>
      </c>
      <c r="AL62" s="10"/>
      <c r="AP62" s="262" t="b">
        <f>EXACT(AH62,AL62)</f>
        <v>0</v>
      </c>
      <c r="AT62" s="272"/>
      <c r="AU62" s="143"/>
      <c r="AV62" s="273">
        <v>44</v>
      </c>
      <c r="AW62" s="273" t="s">
        <v>554</v>
      </c>
      <c r="AX62" s="273" t="s">
        <v>612</v>
      </c>
      <c r="AY62" s="273">
        <v>123</v>
      </c>
      <c r="AZ62" s="345">
        <v>45045</v>
      </c>
      <c r="BB62" s="10"/>
      <c r="BC62" s="10"/>
      <c r="BD62" s="10"/>
      <c r="BE62" s="10"/>
      <c r="BF62" s="344"/>
      <c r="BH62" s="274" t="b">
        <f t="shared" si="18"/>
        <v>0</v>
      </c>
      <c r="BI62" s="274" t="b">
        <f t="shared" si="24"/>
        <v>0</v>
      </c>
      <c r="BJ62" s="274" t="b">
        <f t="shared" si="25"/>
        <v>0</v>
      </c>
      <c r="BK62" s="274" t="b">
        <f t="shared" si="26"/>
        <v>0</v>
      </c>
      <c r="BL62" s="274" t="b">
        <f t="shared" si="27"/>
        <v>0</v>
      </c>
      <c r="BO62" s="272"/>
      <c r="BP62" s="143"/>
      <c r="CF62" s="272"/>
      <c r="CG62" s="143"/>
    </row>
    <row r="63" spans="1:85" x14ac:dyDescent="0.25">
      <c r="A63" s="273">
        <v>26</v>
      </c>
      <c r="D63" s="10"/>
      <c r="G63" s="274" t="b">
        <f t="shared" si="19"/>
        <v>0</v>
      </c>
      <c r="K63" s="143"/>
      <c r="U63" s="272"/>
      <c r="V63" s="143"/>
      <c r="AF63" s="272"/>
      <c r="AG63" s="143"/>
      <c r="AT63" s="272"/>
      <c r="AU63" s="143"/>
      <c r="AV63" s="273">
        <v>23</v>
      </c>
      <c r="AW63" s="273" t="s">
        <v>554</v>
      </c>
      <c r="AX63" s="273" t="s">
        <v>592</v>
      </c>
      <c r="AY63" s="273">
        <v>987</v>
      </c>
      <c r="AZ63" s="345">
        <v>45001</v>
      </c>
      <c r="BB63" s="10"/>
      <c r="BC63" s="10"/>
      <c r="BD63" s="10"/>
      <c r="BE63" s="10"/>
      <c r="BF63" s="344"/>
      <c r="BH63" s="274" t="b">
        <f t="shared" si="18"/>
        <v>0</v>
      </c>
      <c r="BI63" s="274" t="b">
        <f t="shared" si="24"/>
        <v>0</v>
      </c>
      <c r="BJ63" s="274" t="b">
        <f t="shared" si="25"/>
        <v>0</v>
      </c>
      <c r="BK63" s="274" t="b">
        <f t="shared" si="26"/>
        <v>0</v>
      </c>
      <c r="BL63" s="274" t="b">
        <f t="shared" si="27"/>
        <v>0</v>
      </c>
      <c r="BO63" s="272"/>
      <c r="BP63" s="143"/>
      <c r="CF63" s="272"/>
      <c r="CG63" s="143"/>
    </row>
    <row r="64" spans="1:85" x14ac:dyDescent="0.25">
      <c r="A64" s="273">
        <v>27</v>
      </c>
      <c r="D64" s="10"/>
      <c r="G64" s="274" t="b">
        <f t="shared" si="19"/>
        <v>0</v>
      </c>
      <c r="K64" s="143"/>
      <c r="U64" s="272"/>
      <c r="V64" s="143"/>
      <c r="AF64" s="272"/>
      <c r="AG64" s="143"/>
      <c r="AT64" s="272"/>
      <c r="AU64" s="143"/>
      <c r="AV64" s="273">
        <v>27</v>
      </c>
      <c r="AW64" s="273" t="s">
        <v>554</v>
      </c>
      <c r="AX64" s="273" t="s">
        <v>596</v>
      </c>
      <c r="AY64" s="273">
        <v>121</v>
      </c>
      <c r="AZ64" s="345">
        <v>44319</v>
      </c>
      <c r="BB64" s="10"/>
      <c r="BC64" s="10"/>
      <c r="BD64" s="10"/>
      <c r="BE64" s="10"/>
      <c r="BF64" s="344"/>
      <c r="BH64" s="274" t="b">
        <f t="shared" si="18"/>
        <v>0</v>
      </c>
      <c r="BI64" s="274" t="b">
        <f t="shared" si="24"/>
        <v>0</v>
      </c>
      <c r="BJ64" s="274" t="b">
        <f t="shared" si="25"/>
        <v>0</v>
      </c>
      <c r="BK64" s="274" t="b">
        <f t="shared" si="26"/>
        <v>0</v>
      </c>
      <c r="BL64" s="274" t="b">
        <f t="shared" si="27"/>
        <v>0</v>
      </c>
      <c r="BO64" s="272"/>
      <c r="BP64" s="143"/>
      <c r="CF64" s="272"/>
      <c r="CG64" s="143"/>
    </row>
    <row r="65" spans="1:85" x14ac:dyDescent="0.25">
      <c r="A65" s="273">
        <v>28</v>
      </c>
      <c r="D65" s="10"/>
      <c r="G65" s="274" t="b">
        <f t="shared" si="19"/>
        <v>0</v>
      </c>
      <c r="K65" s="143"/>
      <c r="U65" s="272"/>
      <c r="V65" s="143"/>
      <c r="AF65" s="272"/>
      <c r="AG65" s="143"/>
      <c r="AT65" s="272"/>
      <c r="AU65" s="143"/>
      <c r="AV65" s="273">
        <v>51</v>
      </c>
      <c r="AW65" s="273" t="s">
        <v>554</v>
      </c>
      <c r="AX65" s="273" t="s">
        <v>619</v>
      </c>
      <c r="AY65" s="273">
        <v>76</v>
      </c>
      <c r="AZ65" s="345">
        <v>44724</v>
      </c>
      <c r="BB65" s="10"/>
      <c r="BC65" s="10"/>
      <c r="BD65" s="10"/>
      <c r="BE65" s="10"/>
      <c r="BF65" s="344"/>
      <c r="BH65" s="274" t="b">
        <f t="shared" si="18"/>
        <v>0</v>
      </c>
      <c r="BI65" s="274" t="b">
        <f t="shared" si="24"/>
        <v>0</v>
      </c>
      <c r="BJ65" s="274" t="b">
        <f t="shared" si="25"/>
        <v>0</v>
      </c>
      <c r="BK65" s="274" t="b">
        <f t="shared" si="26"/>
        <v>0</v>
      </c>
      <c r="BL65" s="274" t="b">
        <f t="shared" si="27"/>
        <v>0</v>
      </c>
      <c r="BO65" s="272"/>
      <c r="BP65" s="143"/>
      <c r="CF65" s="272"/>
      <c r="CG65" s="143"/>
    </row>
    <row r="66" spans="1:85" x14ac:dyDescent="0.25">
      <c r="A66" s="273">
        <v>29</v>
      </c>
      <c r="D66" s="10"/>
      <c r="G66" s="274" t="b">
        <f t="shared" si="19"/>
        <v>0</v>
      </c>
      <c r="K66" s="143"/>
      <c r="U66" s="272"/>
      <c r="V66" s="143"/>
      <c r="AF66" s="272"/>
      <c r="AG66" s="143"/>
      <c r="AK66" s="7" t="s">
        <v>39</v>
      </c>
      <c r="AT66" s="272"/>
      <c r="AU66" s="143"/>
      <c r="AV66" s="273">
        <v>24</v>
      </c>
      <c r="AW66" s="273" t="s">
        <v>554</v>
      </c>
      <c r="AX66" s="273" t="s">
        <v>593</v>
      </c>
      <c r="AY66" s="273">
        <v>198</v>
      </c>
      <c r="AZ66" s="345">
        <v>44736</v>
      </c>
      <c r="BB66" s="10"/>
      <c r="BC66" s="10"/>
      <c r="BD66" s="10"/>
      <c r="BE66" s="10"/>
      <c r="BF66" s="344"/>
      <c r="BH66" s="274" t="b">
        <f t="shared" si="18"/>
        <v>0</v>
      </c>
      <c r="BI66" s="274" t="b">
        <f t="shared" si="24"/>
        <v>0</v>
      </c>
      <c r="BJ66" s="274" t="b">
        <f t="shared" si="25"/>
        <v>0</v>
      </c>
      <c r="BK66" s="274" t="b">
        <f t="shared" si="26"/>
        <v>0</v>
      </c>
      <c r="BL66" s="274" t="b">
        <f t="shared" si="27"/>
        <v>0</v>
      </c>
      <c r="BO66" s="272"/>
      <c r="BP66" s="143"/>
      <c r="CF66" s="272"/>
      <c r="CG66" s="143"/>
    </row>
    <row r="67" spans="1:85" x14ac:dyDescent="0.25">
      <c r="A67" s="273">
        <v>30</v>
      </c>
      <c r="D67" s="10"/>
      <c r="G67" s="274" t="b">
        <f t="shared" si="19"/>
        <v>0</v>
      </c>
      <c r="K67" s="143"/>
      <c r="U67" s="272"/>
      <c r="V67" s="143"/>
      <c r="AF67" s="272"/>
      <c r="AG67" s="143"/>
      <c r="AT67" s="272"/>
      <c r="AU67" s="143"/>
      <c r="AV67" s="273">
        <v>58</v>
      </c>
      <c r="AW67" s="273" t="s">
        <v>554</v>
      </c>
      <c r="AX67" s="273" t="s">
        <v>626</v>
      </c>
      <c r="AY67" s="273">
        <v>285</v>
      </c>
      <c r="AZ67" s="345">
        <v>44751</v>
      </c>
      <c r="BB67" s="10"/>
      <c r="BC67" s="10"/>
      <c r="BD67" s="10"/>
      <c r="BE67" s="10"/>
      <c r="BF67" s="344"/>
      <c r="BH67" s="274" t="b">
        <f t="shared" si="18"/>
        <v>0</v>
      </c>
      <c r="BI67" s="274" t="b">
        <f t="shared" si="24"/>
        <v>0</v>
      </c>
      <c r="BJ67" s="274" t="b">
        <f t="shared" si="25"/>
        <v>0</v>
      </c>
      <c r="BK67" s="274" t="b">
        <f t="shared" si="26"/>
        <v>0</v>
      </c>
      <c r="BL67" s="274" t="b">
        <f t="shared" si="27"/>
        <v>0</v>
      </c>
      <c r="BO67" s="272"/>
      <c r="BP67" s="143"/>
      <c r="CF67" s="272"/>
      <c r="CG67" s="143"/>
    </row>
    <row r="68" spans="1:85" x14ac:dyDescent="0.25">
      <c r="K68" s="143"/>
      <c r="U68" s="272"/>
      <c r="V68" s="143"/>
      <c r="AF68" s="272"/>
      <c r="AG68" s="143"/>
      <c r="AT68" s="272"/>
      <c r="AU68" s="143"/>
      <c r="AV68" s="273">
        <v>32</v>
      </c>
      <c r="AW68" s="273" t="s">
        <v>554</v>
      </c>
      <c r="AX68" s="273" t="s">
        <v>600</v>
      </c>
      <c r="AY68" s="273">
        <v>121</v>
      </c>
      <c r="AZ68" s="345">
        <v>44279</v>
      </c>
      <c r="BB68" s="10"/>
      <c r="BC68" s="10"/>
      <c r="BD68" s="10"/>
      <c r="BE68" s="10"/>
      <c r="BF68" s="344"/>
      <c r="BH68" s="274" t="b">
        <f t="shared" si="18"/>
        <v>0</v>
      </c>
      <c r="BI68" s="274" t="b">
        <f t="shared" si="24"/>
        <v>0</v>
      </c>
      <c r="BJ68" s="274" t="b">
        <f t="shared" si="25"/>
        <v>0</v>
      </c>
      <c r="BK68" s="274" t="b">
        <f t="shared" si="26"/>
        <v>0</v>
      </c>
      <c r="BL68" s="274" t="b">
        <f t="shared" si="27"/>
        <v>0</v>
      </c>
      <c r="BO68" s="272"/>
      <c r="BP68" s="143"/>
      <c r="CF68" s="272"/>
      <c r="CG68" s="143"/>
    </row>
    <row r="69" spans="1:85" x14ac:dyDescent="0.25">
      <c r="K69" s="143"/>
      <c r="U69" s="272"/>
      <c r="V69" s="143"/>
      <c r="AF69" s="272"/>
      <c r="AG69" s="143"/>
      <c r="AT69" s="272"/>
      <c r="AU69" s="143"/>
      <c r="AV69" s="273">
        <v>45</v>
      </c>
      <c r="AW69" s="273" t="s">
        <v>554</v>
      </c>
      <c r="AX69" s="273" t="s">
        <v>613</v>
      </c>
      <c r="AY69" s="273">
        <v>186</v>
      </c>
      <c r="AZ69" s="345">
        <v>44587</v>
      </c>
      <c r="BB69" s="10"/>
      <c r="BC69" s="10"/>
      <c r="BD69" s="10"/>
      <c r="BE69" s="10"/>
      <c r="BF69" s="344"/>
      <c r="BH69" s="274" t="b">
        <f t="shared" si="18"/>
        <v>0</v>
      </c>
      <c r="BI69" s="274" t="b">
        <f t="shared" si="24"/>
        <v>0</v>
      </c>
      <c r="BJ69" s="274" t="b">
        <f t="shared" si="25"/>
        <v>0</v>
      </c>
      <c r="BK69" s="274" t="b">
        <f t="shared" si="26"/>
        <v>0</v>
      </c>
      <c r="BL69" s="274" t="b">
        <f t="shared" si="27"/>
        <v>0</v>
      </c>
      <c r="BO69" s="272"/>
      <c r="BP69" s="143"/>
      <c r="CF69" s="272"/>
      <c r="CG69" s="143"/>
    </row>
    <row r="70" spans="1:85" ht="15.75" x14ac:dyDescent="0.25">
      <c r="A70" s="6" t="s">
        <v>40</v>
      </c>
      <c r="I70" s="7">
        <f>COUNTA(G73:I79)</f>
        <v>14</v>
      </c>
      <c r="K70" s="143"/>
      <c r="U70" s="272"/>
      <c r="V70" s="143"/>
      <c r="AF70" s="272"/>
      <c r="AG70" s="143"/>
      <c r="AT70" s="272"/>
      <c r="AU70" s="143"/>
      <c r="AV70" s="273">
        <v>57</v>
      </c>
      <c r="AW70" s="273" t="s">
        <v>554</v>
      </c>
      <c r="AX70" s="273" t="s">
        <v>625</v>
      </c>
      <c r="AY70" s="273">
        <v>110</v>
      </c>
      <c r="AZ70" s="345">
        <v>44263</v>
      </c>
      <c r="BB70" s="10"/>
      <c r="BC70" s="10"/>
      <c r="BD70" s="10"/>
      <c r="BE70" s="10"/>
      <c r="BF70" s="344"/>
      <c r="BH70" s="274" t="b">
        <f t="shared" si="18"/>
        <v>0</v>
      </c>
      <c r="BI70" s="274" t="b">
        <f t="shared" si="24"/>
        <v>0</v>
      </c>
      <c r="BJ70" s="274" t="b">
        <f t="shared" si="25"/>
        <v>0</v>
      </c>
      <c r="BK70" s="274" t="b">
        <f t="shared" si="26"/>
        <v>0</v>
      </c>
      <c r="BL70" s="274" t="b">
        <f t="shared" si="27"/>
        <v>0</v>
      </c>
      <c r="BO70" s="272"/>
      <c r="BP70" s="143"/>
      <c r="CF70" s="272"/>
      <c r="CG70" s="143"/>
    </row>
    <row r="71" spans="1:85" ht="15.75" x14ac:dyDescent="0.25">
      <c r="A71" s="371" t="s">
        <v>28</v>
      </c>
      <c r="B71" s="371"/>
      <c r="D71" s="364" t="s">
        <v>29</v>
      </c>
      <c r="E71" s="364"/>
      <c r="G71" s="360" t="s">
        <v>30</v>
      </c>
      <c r="H71" s="360"/>
      <c r="K71" s="143"/>
      <c r="U71" s="272"/>
      <c r="V71" s="143"/>
      <c r="AF71" s="272"/>
      <c r="AG71" s="143"/>
      <c r="AT71" s="272"/>
      <c r="AU71" s="143"/>
      <c r="AV71" s="273">
        <v>21</v>
      </c>
      <c r="AW71" s="273" t="s">
        <v>554</v>
      </c>
      <c r="AX71" s="273" t="s">
        <v>590</v>
      </c>
      <c r="AY71" s="273">
        <v>218</v>
      </c>
      <c r="AZ71" s="345">
        <v>44020</v>
      </c>
      <c r="BB71" s="10"/>
      <c r="BC71" s="10"/>
      <c r="BD71" s="10"/>
      <c r="BE71" s="10"/>
      <c r="BF71" s="344"/>
      <c r="BH71" s="274" t="b">
        <f t="shared" si="18"/>
        <v>0</v>
      </c>
      <c r="BI71" s="274" t="b">
        <f t="shared" si="24"/>
        <v>0</v>
      </c>
      <c r="BJ71" s="274" t="b">
        <f t="shared" si="25"/>
        <v>0</v>
      </c>
      <c r="BK71" s="274" t="b">
        <f t="shared" si="26"/>
        <v>0</v>
      </c>
      <c r="BL71" s="274" t="b">
        <f t="shared" si="27"/>
        <v>0</v>
      </c>
      <c r="BO71" s="272"/>
      <c r="BP71" s="143"/>
      <c r="CF71" s="272"/>
      <c r="CG71" s="143"/>
    </row>
    <row r="72" spans="1:85" x14ac:dyDescent="0.25">
      <c r="A72" s="264" t="s">
        <v>41</v>
      </c>
      <c r="B72" s="264" t="s">
        <v>42</v>
      </c>
      <c r="D72" s="331" t="s">
        <v>41</v>
      </c>
      <c r="E72" s="331" t="s">
        <v>42</v>
      </c>
      <c r="G72" s="262" t="s">
        <v>41</v>
      </c>
      <c r="H72" s="262" t="s">
        <v>42</v>
      </c>
      <c r="K72" s="143"/>
      <c r="U72" s="272"/>
      <c r="V72" s="143"/>
      <c r="AF72" s="272"/>
      <c r="AG72" s="143"/>
      <c r="AT72" s="272"/>
      <c r="AU72" s="143"/>
      <c r="AV72" s="273">
        <v>52</v>
      </c>
      <c r="AW72" s="273" t="s">
        <v>554</v>
      </c>
      <c r="AX72" s="273" t="s">
        <v>620</v>
      </c>
      <c r="AY72" s="273">
        <v>102</v>
      </c>
      <c r="AZ72" s="345">
        <v>43853</v>
      </c>
      <c r="BB72" s="10"/>
      <c r="BC72" s="10"/>
      <c r="BD72" s="10"/>
      <c r="BE72" s="10"/>
      <c r="BF72" s="344"/>
      <c r="BH72" s="274" t="b">
        <f t="shared" si="18"/>
        <v>0</v>
      </c>
      <c r="BI72" s="274" t="b">
        <f t="shared" si="24"/>
        <v>0</v>
      </c>
      <c r="BJ72" s="274" t="b">
        <f t="shared" si="25"/>
        <v>0</v>
      </c>
      <c r="BK72" s="274" t="b">
        <f t="shared" si="26"/>
        <v>0</v>
      </c>
      <c r="BL72" s="274" t="b">
        <f t="shared" si="27"/>
        <v>0</v>
      </c>
      <c r="BO72" s="272"/>
      <c r="BP72" s="143"/>
      <c r="CF72" s="272"/>
      <c r="CG72" s="143"/>
    </row>
    <row r="73" spans="1:85" x14ac:dyDescent="0.25">
      <c r="A73" s="273" t="s">
        <v>278</v>
      </c>
      <c r="B73" s="287" t="e">
        <f>AVERAGE(#REF!)</f>
        <v>#REF!</v>
      </c>
      <c r="D73" s="10"/>
      <c r="E73" s="288"/>
      <c r="G73" s="274" t="b">
        <f>EXACT(A73,LEFT(D73,LEN(A73)))</f>
        <v>0</v>
      </c>
      <c r="H73" s="274" t="e">
        <f>B73=E73</f>
        <v>#REF!</v>
      </c>
      <c r="K73" s="143"/>
      <c r="U73" s="272"/>
      <c r="V73" s="143"/>
      <c r="AF73" s="272"/>
      <c r="AG73" s="143"/>
      <c r="AT73" s="272"/>
      <c r="AU73" s="143"/>
      <c r="AV73" s="273">
        <v>35</v>
      </c>
      <c r="AW73" s="273" t="s">
        <v>554</v>
      </c>
      <c r="AX73" s="273" t="s">
        <v>603</v>
      </c>
      <c r="AY73" s="273">
        <v>272</v>
      </c>
      <c r="AZ73" s="345">
        <v>43992</v>
      </c>
      <c r="BB73" s="10"/>
      <c r="BC73" s="10"/>
      <c r="BD73" s="10"/>
      <c r="BE73" s="10"/>
      <c r="BF73" s="344"/>
      <c r="BH73" s="274" t="b">
        <f t="shared" si="18"/>
        <v>0</v>
      </c>
      <c r="BI73" s="274" t="b">
        <f t="shared" si="24"/>
        <v>0</v>
      </c>
      <c r="BJ73" s="274" t="b">
        <f t="shared" si="25"/>
        <v>0</v>
      </c>
      <c r="BK73" s="274" t="b">
        <f t="shared" si="26"/>
        <v>0</v>
      </c>
      <c r="BL73" s="274" t="b">
        <f t="shared" si="27"/>
        <v>0</v>
      </c>
      <c r="BO73" s="272"/>
      <c r="BP73" s="143"/>
      <c r="CF73" s="272"/>
      <c r="CG73" s="143"/>
    </row>
    <row r="74" spans="1:85" x14ac:dyDescent="0.25">
      <c r="A74" s="273" t="s">
        <v>278</v>
      </c>
      <c r="B74" s="287" t="e">
        <f>AVERAGE(#REF!)</f>
        <v>#REF!</v>
      </c>
      <c r="D74" s="10"/>
      <c r="E74" s="288"/>
      <c r="G74" s="274" t="b">
        <f t="shared" ref="G74:G79" si="28">EXACT(A74,LEFT(D74,LEN(A74)))</f>
        <v>0</v>
      </c>
      <c r="H74" s="274" t="e">
        <f t="shared" ref="H74:H79" si="29">B74=E74</f>
        <v>#REF!</v>
      </c>
      <c r="K74" s="143"/>
      <c r="U74" s="272"/>
      <c r="V74" s="143"/>
      <c r="AF74" s="272"/>
      <c r="AG74" s="143"/>
      <c r="AT74" s="272"/>
      <c r="AU74" s="143"/>
      <c r="AV74" s="273">
        <v>25</v>
      </c>
      <c r="AW74" s="273" t="s">
        <v>555</v>
      </c>
      <c r="AX74" s="273" t="s">
        <v>627</v>
      </c>
      <c r="AY74" s="273">
        <v>273</v>
      </c>
      <c r="AZ74" s="345">
        <v>45265</v>
      </c>
      <c r="BB74" s="10"/>
      <c r="BC74" s="10"/>
      <c r="BD74" s="10"/>
      <c r="BE74" s="10"/>
      <c r="BF74" s="344"/>
      <c r="BH74" s="274" t="b">
        <f t="shared" si="18"/>
        <v>0</v>
      </c>
      <c r="BI74" s="274" t="b">
        <f t="shared" si="24"/>
        <v>0</v>
      </c>
      <c r="BJ74" s="274" t="b">
        <f t="shared" si="25"/>
        <v>0</v>
      </c>
      <c r="BK74" s="274" t="b">
        <f t="shared" si="26"/>
        <v>0</v>
      </c>
      <c r="BL74" s="274" t="b">
        <f t="shared" si="27"/>
        <v>0</v>
      </c>
      <c r="BO74" s="272"/>
      <c r="BP74" s="143"/>
      <c r="CF74" s="272"/>
      <c r="CG74" s="143"/>
    </row>
    <row r="75" spans="1:85" x14ac:dyDescent="0.25">
      <c r="A75" s="273" t="s">
        <v>278</v>
      </c>
      <c r="B75" s="287" t="e">
        <f>AVERAGE(#REF!)</f>
        <v>#REF!</v>
      </c>
      <c r="D75" s="10"/>
      <c r="E75" s="288"/>
      <c r="G75" s="274" t="b">
        <f t="shared" si="28"/>
        <v>0</v>
      </c>
      <c r="H75" s="274" t="e">
        <f t="shared" si="29"/>
        <v>#REF!</v>
      </c>
      <c r="K75" s="143"/>
      <c r="U75" s="272"/>
      <c r="V75" s="143"/>
      <c r="AF75" s="272"/>
      <c r="AG75" s="143"/>
      <c r="AT75" s="272"/>
      <c r="AU75" s="143"/>
      <c r="AV75" s="273">
        <v>17</v>
      </c>
      <c r="AW75" s="273" t="s">
        <v>555</v>
      </c>
      <c r="AX75" s="273" t="s">
        <v>586</v>
      </c>
      <c r="AY75" s="273">
        <v>204</v>
      </c>
      <c r="AZ75" s="345">
        <v>44155</v>
      </c>
      <c r="BB75" s="10"/>
      <c r="BC75" s="10"/>
      <c r="BD75" s="10"/>
      <c r="BE75" s="10"/>
      <c r="BF75" s="344"/>
      <c r="BH75" s="274" t="b">
        <f t="shared" si="18"/>
        <v>0</v>
      </c>
      <c r="BI75" s="274" t="b">
        <f t="shared" si="24"/>
        <v>0</v>
      </c>
      <c r="BJ75" s="274" t="b">
        <f t="shared" si="25"/>
        <v>0</v>
      </c>
      <c r="BK75" s="274" t="b">
        <f t="shared" si="26"/>
        <v>0</v>
      </c>
      <c r="BL75" s="274" t="b">
        <f t="shared" si="27"/>
        <v>0</v>
      </c>
      <c r="BO75" s="272"/>
      <c r="BP75" s="143"/>
      <c r="CF75" s="272"/>
      <c r="CG75" s="143"/>
    </row>
    <row r="76" spans="1:85" x14ac:dyDescent="0.25">
      <c r="A76" s="273" t="s">
        <v>278</v>
      </c>
      <c r="B76" s="287" t="e">
        <f>AVERAGE(#REF!)</f>
        <v>#REF!</v>
      </c>
      <c r="D76" s="10"/>
      <c r="E76" s="288"/>
      <c r="G76" s="274" t="b">
        <f t="shared" si="28"/>
        <v>0</v>
      </c>
      <c r="H76" s="274" t="e">
        <f t="shared" si="29"/>
        <v>#REF!</v>
      </c>
      <c r="K76" s="143"/>
      <c r="U76" s="272"/>
      <c r="V76" s="143"/>
      <c r="AF76" s="272"/>
      <c r="AG76" s="143"/>
      <c r="AT76" s="272"/>
      <c r="AU76" s="143"/>
      <c r="AV76" s="273">
        <v>54</v>
      </c>
      <c r="AW76" s="273" t="s">
        <v>555</v>
      </c>
      <c r="AX76" s="273" t="s">
        <v>622</v>
      </c>
      <c r="AY76" s="273">
        <v>53</v>
      </c>
      <c r="AZ76" s="345">
        <v>44447</v>
      </c>
      <c r="BB76" s="10"/>
      <c r="BC76" s="10"/>
      <c r="BD76" s="10"/>
      <c r="BE76" s="10"/>
      <c r="BF76" s="344"/>
      <c r="BH76" s="274" t="b">
        <f t="shared" si="18"/>
        <v>0</v>
      </c>
      <c r="BI76" s="274" t="b">
        <f t="shared" si="24"/>
        <v>0</v>
      </c>
      <c r="BJ76" s="274" t="b">
        <f t="shared" si="25"/>
        <v>0</v>
      </c>
      <c r="BK76" s="274" t="b">
        <f t="shared" si="26"/>
        <v>0</v>
      </c>
      <c r="BL76" s="274" t="b">
        <f t="shared" si="27"/>
        <v>0</v>
      </c>
      <c r="BO76" s="272"/>
      <c r="BP76" s="143"/>
      <c r="CF76" s="272"/>
      <c r="CG76" s="143"/>
    </row>
    <row r="77" spans="1:85" x14ac:dyDescent="0.25">
      <c r="A77" s="273" t="s">
        <v>278</v>
      </c>
      <c r="B77" s="287" t="e">
        <f>AVERAGE(#REF!)</f>
        <v>#REF!</v>
      </c>
      <c r="D77" s="10"/>
      <c r="E77" s="288"/>
      <c r="G77" s="274" t="b">
        <f t="shared" si="28"/>
        <v>0</v>
      </c>
      <c r="H77" s="274" t="e">
        <f t="shared" si="29"/>
        <v>#REF!</v>
      </c>
      <c r="K77" s="143"/>
      <c r="U77" s="272"/>
      <c r="V77" s="143"/>
      <c r="AF77" s="272"/>
      <c r="AG77" s="143"/>
      <c r="AT77" s="272"/>
      <c r="AU77" s="143"/>
      <c r="AV77" s="273">
        <v>16</v>
      </c>
      <c r="AW77" s="273" t="s">
        <v>555</v>
      </c>
      <c r="AX77" s="273" t="s">
        <v>585</v>
      </c>
      <c r="AY77" s="273">
        <v>188</v>
      </c>
      <c r="AZ77" s="345">
        <v>44342</v>
      </c>
      <c r="BB77" s="10"/>
      <c r="BC77" s="10"/>
      <c r="BD77" s="10"/>
      <c r="BE77" s="10"/>
      <c r="BF77" s="344"/>
      <c r="BH77" s="274" t="b">
        <f t="shared" si="18"/>
        <v>0</v>
      </c>
      <c r="BI77" s="274" t="b">
        <f t="shared" si="24"/>
        <v>0</v>
      </c>
      <c r="BJ77" s="274" t="b">
        <f t="shared" si="25"/>
        <v>0</v>
      </c>
      <c r="BK77" s="274" t="b">
        <f t="shared" si="26"/>
        <v>0</v>
      </c>
      <c r="BL77" s="274" t="b">
        <f t="shared" si="27"/>
        <v>0</v>
      </c>
      <c r="BO77" s="272"/>
      <c r="BP77" s="143"/>
      <c r="CF77" s="272"/>
      <c r="CG77" s="143"/>
    </row>
    <row r="78" spans="1:85" x14ac:dyDescent="0.25">
      <c r="A78" s="273" t="s">
        <v>278</v>
      </c>
      <c r="B78" s="287" t="e">
        <f>AVERAGE(#REF!)</f>
        <v>#REF!</v>
      </c>
      <c r="D78" s="10"/>
      <c r="E78" s="288"/>
      <c r="G78" s="274" t="b">
        <f t="shared" si="28"/>
        <v>0</v>
      </c>
      <c r="H78" s="274" t="e">
        <f t="shared" si="29"/>
        <v>#REF!</v>
      </c>
      <c r="K78" s="143"/>
      <c r="U78" s="272"/>
      <c r="V78" s="143"/>
      <c r="AF78" s="272"/>
      <c r="AG78" s="143"/>
      <c r="AT78" s="272"/>
      <c r="AU78" s="143"/>
      <c r="AV78" s="273">
        <v>6</v>
      </c>
      <c r="AW78" s="273" t="s">
        <v>555</v>
      </c>
      <c r="AX78" s="273" t="s">
        <v>575</v>
      </c>
      <c r="AY78" s="273">
        <v>507</v>
      </c>
      <c r="AZ78" s="345">
        <v>45109</v>
      </c>
      <c r="BB78" s="10"/>
      <c r="BC78" s="10"/>
      <c r="BD78" s="10"/>
      <c r="BE78" s="10"/>
      <c r="BF78" s="344"/>
      <c r="BH78" s="274" t="b">
        <f t="shared" si="18"/>
        <v>0</v>
      </c>
      <c r="BI78" s="274" t="b">
        <f t="shared" si="24"/>
        <v>0</v>
      </c>
      <c r="BJ78" s="274" t="b">
        <f t="shared" si="25"/>
        <v>0</v>
      </c>
      <c r="BK78" s="274" t="b">
        <f t="shared" si="26"/>
        <v>0</v>
      </c>
      <c r="BL78" s="274" t="b">
        <f t="shared" si="27"/>
        <v>0</v>
      </c>
      <c r="BO78" s="272"/>
      <c r="BP78" s="143"/>
      <c r="CF78" s="272"/>
      <c r="CG78" s="143"/>
    </row>
    <row r="79" spans="1:85" x14ac:dyDescent="0.25">
      <c r="A79" s="273" t="s">
        <v>278</v>
      </c>
      <c r="B79" s="287" t="e">
        <f>AVERAGE(#REF!)</f>
        <v>#REF!</v>
      </c>
      <c r="D79" s="10"/>
      <c r="E79" s="288"/>
      <c r="G79" s="274" t="b">
        <f t="shared" si="28"/>
        <v>0</v>
      </c>
      <c r="H79" s="274" t="e">
        <f t="shared" si="29"/>
        <v>#REF!</v>
      </c>
      <c r="K79" s="143"/>
      <c r="U79" s="272"/>
      <c r="V79" s="143"/>
      <c r="AF79" s="272"/>
      <c r="AG79" s="143"/>
      <c r="AT79" s="272"/>
      <c r="AU79" s="143"/>
      <c r="AV79" s="273">
        <v>55</v>
      </c>
      <c r="AW79" s="273" t="s">
        <v>555</v>
      </c>
      <c r="AX79" s="273" t="s">
        <v>623</v>
      </c>
      <c r="AY79" s="273">
        <v>93</v>
      </c>
      <c r="AZ79" s="345">
        <v>45201</v>
      </c>
      <c r="BB79" s="10"/>
      <c r="BC79" s="10"/>
      <c r="BD79" s="10"/>
      <c r="BE79" s="10"/>
      <c r="BF79" s="344"/>
      <c r="BH79" s="274" t="b">
        <f t="shared" si="18"/>
        <v>0</v>
      </c>
      <c r="BI79" s="274" t="b">
        <f t="shared" si="24"/>
        <v>0</v>
      </c>
      <c r="BJ79" s="274" t="b">
        <f t="shared" si="25"/>
        <v>0</v>
      </c>
      <c r="BK79" s="274" t="b">
        <f t="shared" si="26"/>
        <v>0</v>
      </c>
      <c r="BL79" s="274" t="b">
        <f t="shared" si="27"/>
        <v>0</v>
      </c>
      <c r="BO79" s="272"/>
      <c r="BP79" s="143"/>
      <c r="CF79" s="272"/>
      <c r="CG79" s="143"/>
    </row>
    <row r="80" spans="1:85" x14ac:dyDescent="0.25">
      <c r="K80" s="143"/>
      <c r="U80" s="272"/>
      <c r="V80" s="143"/>
      <c r="AF80" s="272"/>
      <c r="AG80" s="143"/>
      <c r="AT80" s="272"/>
      <c r="AU80" s="143"/>
      <c r="AV80" s="273">
        <v>47</v>
      </c>
      <c r="AW80" s="273" t="s">
        <v>555</v>
      </c>
      <c r="AX80" s="273" t="s">
        <v>615</v>
      </c>
      <c r="AY80" s="273">
        <v>60</v>
      </c>
      <c r="AZ80" s="345">
        <v>44239</v>
      </c>
      <c r="BB80" s="10"/>
      <c r="BC80" s="10"/>
      <c r="BD80" s="10"/>
      <c r="BE80" s="10"/>
      <c r="BF80" s="344"/>
      <c r="BH80" s="274" t="b">
        <f t="shared" si="18"/>
        <v>0</v>
      </c>
      <c r="BI80" s="274" t="b">
        <f t="shared" si="24"/>
        <v>0</v>
      </c>
      <c r="BJ80" s="274" t="b">
        <f t="shared" si="25"/>
        <v>0</v>
      </c>
      <c r="BK80" s="274" t="b">
        <f t="shared" si="26"/>
        <v>0</v>
      </c>
      <c r="BL80" s="274" t="b">
        <f t="shared" si="27"/>
        <v>0</v>
      </c>
      <c r="BO80" s="272"/>
      <c r="BP80" s="143"/>
      <c r="CF80" s="272"/>
      <c r="CG80" s="143"/>
    </row>
    <row r="81" spans="1:85" x14ac:dyDescent="0.25">
      <c r="K81" s="143"/>
      <c r="U81" s="272"/>
      <c r="V81" s="143"/>
      <c r="AF81" s="272"/>
      <c r="AG81" s="143"/>
      <c r="AT81" s="272"/>
      <c r="AU81" s="143"/>
      <c r="AV81" s="273">
        <v>38</v>
      </c>
      <c r="AW81" s="273" t="s">
        <v>555</v>
      </c>
      <c r="AX81" s="273" t="s">
        <v>606</v>
      </c>
      <c r="AY81" s="273">
        <v>432</v>
      </c>
      <c r="AZ81" s="345">
        <v>44824</v>
      </c>
      <c r="BB81" s="10"/>
      <c r="BC81" s="10"/>
      <c r="BD81" s="10"/>
      <c r="BE81" s="10"/>
      <c r="BF81" s="344"/>
      <c r="BH81" s="274" t="b">
        <f t="shared" si="18"/>
        <v>0</v>
      </c>
      <c r="BI81" s="274" t="b">
        <f t="shared" si="24"/>
        <v>0</v>
      </c>
      <c r="BJ81" s="274" t="b">
        <f t="shared" si="25"/>
        <v>0</v>
      </c>
      <c r="BK81" s="274" t="b">
        <f t="shared" si="26"/>
        <v>0</v>
      </c>
      <c r="BL81" s="274" t="b">
        <f t="shared" si="27"/>
        <v>0</v>
      </c>
      <c r="BO81" s="272"/>
      <c r="BP81" s="143"/>
      <c r="CF81" s="272"/>
      <c r="CG81" s="143"/>
    </row>
    <row r="82" spans="1:85" ht="15.75" x14ac:dyDescent="0.25">
      <c r="A82" s="6" t="s">
        <v>43</v>
      </c>
      <c r="I82" s="7">
        <f>COUNTA(G85:I94)</f>
        <v>20</v>
      </c>
      <c r="K82" s="143"/>
      <c r="U82" s="272"/>
      <c r="V82" s="143"/>
      <c r="AF82" s="272"/>
      <c r="AG82" s="143"/>
      <c r="AT82" s="272"/>
      <c r="AU82" s="143"/>
      <c r="AV82" s="273">
        <v>19</v>
      </c>
      <c r="AW82" s="273" t="s">
        <v>555</v>
      </c>
      <c r="AX82" s="273" t="s">
        <v>588</v>
      </c>
      <c r="AY82" s="273">
        <v>564</v>
      </c>
      <c r="AZ82" s="345">
        <v>44962</v>
      </c>
      <c r="BB82" s="10"/>
      <c r="BC82" s="10"/>
      <c r="BD82" s="10"/>
      <c r="BE82" s="10"/>
      <c r="BF82" s="344"/>
      <c r="BH82" s="274" t="b">
        <f t="shared" si="18"/>
        <v>0</v>
      </c>
      <c r="BI82" s="274" t="b">
        <f t="shared" si="24"/>
        <v>0</v>
      </c>
      <c r="BJ82" s="274" t="b">
        <f t="shared" si="25"/>
        <v>0</v>
      </c>
      <c r="BK82" s="274" t="b">
        <f t="shared" si="26"/>
        <v>0</v>
      </c>
      <c r="BL82" s="274" t="b">
        <f t="shared" si="27"/>
        <v>0</v>
      </c>
      <c r="BO82" s="272"/>
      <c r="BP82" s="143"/>
      <c r="CF82" s="272"/>
      <c r="CG82" s="143"/>
    </row>
    <row r="83" spans="1:85" ht="15.75" x14ac:dyDescent="0.25">
      <c r="A83" s="367" t="s">
        <v>28</v>
      </c>
      <c r="B83" s="361"/>
      <c r="C83" s="361"/>
      <c r="D83" s="368"/>
      <c r="E83" s="282" t="s">
        <v>29</v>
      </c>
      <c r="F83" s="282"/>
      <c r="G83" s="360" t="s">
        <v>30</v>
      </c>
      <c r="H83" s="360"/>
      <c r="K83" s="143"/>
      <c r="U83" s="272"/>
      <c r="V83" s="143"/>
      <c r="AF83" s="272"/>
      <c r="AG83" s="143"/>
      <c r="AT83" s="272"/>
      <c r="AU83" s="143"/>
      <c r="AV83" s="273">
        <v>15</v>
      </c>
      <c r="AW83" s="273" t="s">
        <v>555</v>
      </c>
      <c r="AX83" s="273" t="s">
        <v>584</v>
      </c>
      <c r="AY83" s="273">
        <v>823</v>
      </c>
      <c r="AZ83" s="345">
        <v>44446</v>
      </c>
      <c r="BB83" s="10"/>
      <c r="BC83" s="10"/>
      <c r="BD83" s="10"/>
      <c r="BE83" s="10"/>
      <c r="BF83" s="344"/>
      <c r="BH83" s="274" t="b">
        <f t="shared" si="18"/>
        <v>0</v>
      </c>
      <c r="BI83" s="274" t="b">
        <f t="shared" si="24"/>
        <v>0</v>
      </c>
      <c r="BJ83" s="274" t="b">
        <f t="shared" si="25"/>
        <v>0</v>
      </c>
      <c r="BK83" s="274" t="b">
        <f t="shared" si="26"/>
        <v>0</v>
      </c>
      <c r="BL83" s="274" t="b">
        <f t="shared" si="27"/>
        <v>0</v>
      </c>
      <c r="BO83" s="272"/>
      <c r="BP83" s="143"/>
      <c r="CF83" s="272"/>
      <c r="CG83" s="143"/>
    </row>
    <row r="84" spans="1:85" x14ac:dyDescent="0.25">
      <c r="A84" s="264" t="s">
        <v>41</v>
      </c>
      <c r="B84" s="264" t="s">
        <v>41</v>
      </c>
      <c r="C84" s="264" t="s">
        <v>41</v>
      </c>
      <c r="D84" s="264" t="s">
        <v>42</v>
      </c>
      <c r="E84" s="263" t="s">
        <v>41</v>
      </c>
      <c r="F84" s="263" t="s">
        <v>42</v>
      </c>
      <c r="G84" s="262" t="s">
        <v>41</v>
      </c>
      <c r="H84" s="262" t="s">
        <v>42</v>
      </c>
      <c r="K84" s="143"/>
      <c r="U84" s="272"/>
      <c r="V84" s="143"/>
      <c r="AF84" s="272"/>
      <c r="AG84" s="143"/>
      <c r="AT84" s="272"/>
      <c r="AU84" s="143"/>
      <c r="AV84" s="273">
        <v>41</v>
      </c>
      <c r="AW84" s="273" t="s">
        <v>555</v>
      </c>
      <c r="AX84" s="273" t="s">
        <v>609</v>
      </c>
      <c r="AY84" s="273">
        <v>100</v>
      </c>
      <c r="AZ84" s="345">
        <v>44232</v>
      </c>
      <c r="BB84" s="10"/>
      <c r="BC84" s="10"/>
      <c r="BD84" s="10"/>
      <c r="BE84" s="10"/>
      <c r="BF84" s="344"/>
      <c r="BH84" s="274" t="b">
        <f t="shared" si="18"/>
        <v>0</v>
      </c>
      <c r="BI84" s="274" t="b">
        <f t="shared" si="24"/>
        <v>0</v>
      </c>
      <c r="BJ84" s="274" t="b">
        <f t="shared" si="25"/>
        <v>0</v>
      </c>
      <c r="BK84" s="274" t="b">
        <f t="shared" si="26"/>
        <v>0</v>
      </c>
      <c r="BL84" s="274" t="b">
        <f t="shared" si="27"/>
        <v>0</v>
      </c>
      <c r="BO84" s="272"/>
      <c r="BP84" s="143"/>
      <c r="CF84" s="272"/>
      <c r="CG84" s="143"/>
    </row>
    <row r="85" spans="1:85" x14ac:dyDescent="0.25">
      <c r="A85" s="273" t="s">
        <v>279</v>
      </c>
      <c r="B85" s="273" t="s">
        <v>280</v>
      </c>
      <c r="C85" s="273" t="s">
        <v>281</v>
      </c>
      <c r="D85" s="273" t="s">
        <v>676</v>
      </c>
      <c r="E85" s="10"/>
      <c r="F85" s="10"/>
      <c r="G85" s="274" t="b">
        <f>OR(E85=A85,E85=B85,E85=C85)</f>
        <v>0</v>
      </c>
      <c r="H85" s="274" t="b">
        <f t="shared" ref="H85:H94" si="30">D85=F85</f>
        <v>0</v>
      </c>
      <c r="K85" s="143"/>
      <c r="U85" s="272"/>
      <c r="V85" s="143"/>
      <c r="AF85" s="272"/>
      <c r="AG85" s="143"/>
      <c r="AT85" s="272"/>
      <c r="AU85" s="143"/>
      <c r="AV85" s="273">
        <v>37</v>
      </c>
      <c r="AW85" s="273" t="s">
        <v>555</v>
      </c>
      <c r="AX85" s="273" t="s">
        <v>605</v>
      </c>
      <c r="AY85" s="273">
        <v>74</v>
      </c>
      <c r="AZ85" s="345">
        <v>44012</v>
      </c>
      <c r="BB85" s="10"/>
      <c r="BC85" s="10"/>
      <c r="BD85" s="10"/>
      <c r="BE85" s="10"/>
      <c r="BF85" s="344"/>
      <c r="BH85" s="274" t="b">
        <f t="shared" si="18"/>
        <v>0</v>
      </c>
      <c r="BI85" s="274" t="b">
        <f t="shared" si="24"/>
        <v>0</v>
      </c>
      <c r="BJ85" s="274" t="b">
        <f t="shared" si="25"/>
        <v>0</v>
      </c>
      <c r="BK85" s="274" t="b">
        <f t="shared" si="26"/>
        <v>0</v>
      </c>
      <c r="BL85" s="274" t="b">
        <f t="shared" si="27"/>
        <v>0</v>
      </c>
      <c r="BO85" s="272"/>
      <c r="BP85" s="143"/>
      <c r="CF85" s="272"/>
      <c r="CG85" s="143"/>
    </row>
    <row r="86" spans="1:85" x14ac:dyDescent="0.25">
      <c r="A86" s="273" t="s">
        <v>279</v>
      </c>
      <c r="B86" s="273" t="s">
        <v>280</v>
      </c>
      <c r="C86" s="273" t="s">
        <v>281</v>
      </c>
      <c r="D86" s="273" t="s">
        <v>677</v>
      </c>
      <c r="E86" s="10"/>
      <c r="F86" s="10"/>
      <c r="G86" s="274" t="b">
        <f t="shared" ref="G86:G94" si="31">OR(E86=A86,E86=B86,E86=C86)</f>
        <v>0</v>
      </c>
      <c r="H86" s="274" t="b">
        <f t="shared" si="30"/>
        <v>0</v>
      </c>
      <c r="K86" s="143"/>
      <c r="U86" s="272"/>
      <c r="V86" s="143"/>
      <c r="AF86" s="272"/>
      <c r="AG86" s="143"/>
      <c r="AT86" s="272"/>
      <c r="AU86" s="143"/>
      <c r="AV86" s="273">
        <v>8</v>
      </c>
      <c r="AW86" s="273" t="s">
        <v>555</v>
      </c>
      <c r="AX86" s="273" t="s">
        <v>577</v>
      </c>
      <c r="AY86" s="273">
        <v>925</v>
      </c>
      <c r="AZ86" s="345">
        <v>44078</v>
      </c>
      <c r="BB86" s="10"/>
      <c r="BC86" s="10"/>
      <c r="BD86" s="10"/>
      <c r="BE86" s="10"/>
      <c r="BF86" s="344"/>
      <c r="BH86" s="274" t="b">
        <f t="shared" si="18"/>
        <v>0</v>
      </c>
      <c r="BI86" s="274" t="b">
        <f t="shared" si="24"/>
        <v>0</v>
      </c>
      <c r="BJ86" s="274" t="b">
        <f t="shared" si="25"/>
        <v>0</v>
      </c>
      <c r="BK86" s="274" t="b">
        <f t="shared" si="26"/>
        <v>0</v>
      </c>
      <c r="BL86" s="274" t="b">
        <f t="shared" si="27"/>
        <v>0</v>
      </c>
      <c r="BO86" s="272"/>
      <c r="BP86" s="143"/>
      <c r="CF86" s="272"/>
      <c r="CG86" s="143"/>
    </row>
    <row r="87" spans="1:85" x14ac:dyDescent="0.25">
      <c r="A87" s="273" t="s">
        <v>279</v>
      </c>
      <c r="B87" s="273" t="s">
        <v>280</v>
      </c>
      <c r="C87" s="273" t="s">
        <v>281</v>
      </c>
      <c r="D87" s="273" t="s">
        <v>678</v>
      </c>
      <c r="E87" s="10"/>
      <c r="F87" s="10"/>
      <c r="G87" s="274" t="b">
        <f t="shared" si="31"/>
        <v>0</v>
      </c>
      <c r="H87" s="274" t="b">
        <f t="shared" si="30"/>
        <v>0</v>
      </c>
      <c r="K87" s="143"/>
      <c r="U87" s="272"/>
      <c r="V87" s="143"/>
      <c r="AF87" s="272"/>
      <c r="AG87" s="143"/>
      <c r="AT87" s="272"/>
      <c r="AU87" s="143"/>
      <c r="BO87" s="272"/>
      <c r="BP87" s="143"/>
      <c r="CF87" s="272"/>
      <c r="CG87" s="143"/>
    </row>
    <row r="88" spans="1:85" x14ac:dyDescent="0.25">
      <c r="A88" s="273" t="s">
        <v>279</v>
      </c>
      <c r="B88" s="273" t="s">
        <v>280</v>
      </c>
      <c r="C88" s="273" t="s">
        <v>281</v>
      </c>
      <c r="D88" s="273" t="s">
        <v>679</v>
      </c>
      <c r="E88" s="10"/>
      <c r="F88" s="10"/>
      <c r="G88" s="274" t="b">
        <f t="shared" si="31"/>
        <v>0</v>
      </c>
      <c r="H88" s="274" t="b">
        <f t="shared" si="30"/>
        <v>0</v>
      </c>
      <c r="K88" s="143"/>
      <c r="U88" s="272"/>
      <c r="V88" s="143"/>
      <c r="AF88" s="272"/>
      <c r="AG88" s="143"/>
      <c r="AT88" s="272"/>
      <c r="AU88" s="143"/>
      <c r="BO88" s="272"/>
      <c r="BP88" s="143"/>
      <c r="CF88" s="272"/>
      <c r="CG88" s="143"/>
    </row>
    <row r="89" spans="1:85" x14ac:dyDescent="0.25">
      <c r="A89" s="273" t="s">
        <v>279</v>
      </c>
      <c r="B89" s="273" t="s">
        <v>280</v>
      </c>
      <c r="C89" s="273" t="s">
        <v>281</v>
      </c>
      <c r="D89" s="273" t="s">
        <v>680</v>
      </c>
      <c r="E89" s="10"/>
      <c r="F89" s="10"/>
      <c r="G89" s="274" t="b">
        <f t="shared" si="31"/>
        <v>0</v>
      </c>
      <c r="H89" s="274" t="b">
        <f t="shared" si="30"/>
        <v>0</v>
      </c>
      <c r="K89" s="143"/>
      <c r="U89" s="272"/>
      <c r="V89" s="143"/>
      <c r="AF89" s="272"/>
      <c r="AG89" s="143"/>
      <c r="AT89" s="272"/>
      <c r="AU89" s="143"/>
      <c r="BO89" s="272"/>
      <c r="BP89" s="143"/>
      <c r="CF89" s="272"/>
      <c r="CG89" s="143"/>
    </row>
    <row r="90" spans="1:85" x14ac:dyDescent="0.25">
      <c r="A90" s="273" t="s">
        <v>279</v>
      </c>
      <c r="B90" s="273" t="s">
        <v>280</v>
      </c>
      <c r="C90" s="273" t="s">
        <v>281</v>
      </c>
      <c r="D90" s="273" t="s">
        <v>681</v>
      </c>
      <c r="E90" s="10"/>
      <c r="F90" s="10"/>
      <c r="G90" s="274" t="b">
        <f t="shared" si="31"/>
        <v>0</v>
      </c>
      <c r="H90" s="274" t="b">
        <f t="shared" si="30"/>
        <v>0</v>
      </c>
      <c r="K90" s="143"/>
      <c r="AV90" s="278" t="s">
        <v>40</v>
      </c>
      <c r="BL90" s="7">
        <f>COUNTA(BH93:BI93)</f>
        <v>2</v>
      </c>
    </row>
    <row r="91" spans="1:85" ht="15.75" x14ac:dyDescent="0.25">
      <c r="A91" s="273" t="s">
        <v>279</v>
      </c>
      <c r="B91" s="273" t="s">
        <v>280</v>
      </c>
      <c r="C91" s="273" t="s">
        <v>281</v>
      </c>
      <c r="D91" s="273" t="s">
        <v>682</v>
      </c>
      <c r="E91" s="10"/>
      <c r="F91" s="10"/>
      <c r="G91" s="274" t="b">
        <f t="shared" si="31"/>
        <v>0</v>
      </c>
      <c r="H91" s="274" t="b">
        <f t="shared" si="30"/>
        <v>0</v>
      </c>
      <c r="K91" s="143"/>
      <c r="AV91" s="362" t="s">
        <v>28</v>
      </c>
      <c r="AW91" s="363"/>
      <c r="BB91" s="359" t="s">
        <v>29</v>
      </c>
      <c r="BC91" s="359"/>
      <c r="BH91" s="360" t="s">
        <v>30</v>
      </c>
      <c r="BI91" s="360"/>
    </row>
    <row r="92" spans="1:85" x14ac:dyDescent="0.25">
      <c r="A92" s="273" t="s">
        <v>279</v>
      </c>
      <c r="B92" s="273" t="s">
        <v>280</v>
      </c>
      <c r="C92" s="273" t="s">
        <v>281</v>
      </c>
      <c r="D92" s="273" t="s">
        <v>683</v>
      </c>
      <c r="E92" s="10"/>
      <c r="F92" s="10"/>
      <c r="G92" s="274" t="b">
        <f t="shared" si="31"/>
        <v>0</v>
      </c>
      <c r="H92" s="274" t="b">
        <f t="shared" si="30"/>
        <v>0</v>
      </c>
      <c r="K92" s="143"/>
      <c r="AV92" s="280" t="s">
        <v>41</v>
      </c>
      <c r="AW92" s="280" t="s">
        <v>29</v>
      </c>
      <c r="BB92" s="280" t="s">
        <v>41</v>
      </c>
      <c r="BC92" s="280" t="s">
        <v>29</v>
      </c>
      <c r="BH92" s="280" t="s">
        <v>41</v>
      </c>
      <c r="BI92" s="280" t="s">
        <v>29</v>
      </c>
    </row>
    <row r="93" spans="1:85" x14ac:dyDescent="0.25">
      <c r="A93" s="273" t="s">
        <v>279</v>
      </c>
      <c r="B93" s="273" t="s">
        <v>280</v>
      </c>
      <c r="C93" s="273" t="s">
        <v>281</v>
      </c>
      <c r="D93" s="273" t="s">
        <v>684</v>
      </c>
      <c r="E93" s="10"/>
      <c r="F93" s="10"/>
      <c r="G93" s="274" t="b">
        <f t="shared" si="31"/>
        <v>0</v>
      </c>
      <c r="H93" s="274" t="b">
        <f t="shared" si="30"/>
        <v>0</v>
      </c>
      <c r="K93" s="143"/>
      <c r="AV93" s="273" t="s">
        <v>720</v>
      </c>
      <c r="AW93" s="273">
        <v>3527</v>
      </c>
      <c r="BB93" s="10"/>
      <c r="BC93" s="10"/>
      <c r="BH93" s="274" t="b">
        <f>LEFT(BB93,5)=AV93</f>
        <v>0</v>
      </c>
      <c r="BI93" s="274" t="b">
        <f>EXACT(AW93,BC93)</f>
        <v>0</v>
      </c>
    </row>
    <row r="94" spans="1:85" x14ac:dyDescent="0.25">
      <c r="A94" s="273" t="s">
        <v>279</v>
      </c>
      <c r="B94" s="273" t="s">
        <v>280</v>
      </c>
      <c r="C94" s="273" t="s">
        <v>281</v>
      </c>
      <c r="D94" s="273" t="s">
        <v>685</v>
      </c>
      <c r="E94" s="10"/>
      <c r="F94" s="10"/>
      <c r="G94" s="274" t="b">
        <f t="shared" si="31"/>
        <v>0</v>
      </c>
      <c r="H94" s="274" t="b">
        <f t="shared" si="30"/>
        <v>0</v>
      </c>
      <c r="K94" s="143"/>
    </row>
    <row r="95" spans="1:85" x14ac:dyDescent="0.25">
      <c r="K95" s="143"/>
    </row>
    <row r="96" spans="1:85" x14ac:dyDescent="0.25">
      <c r="K96" s="143"/>
    </row>
    <row r="97" spans="1:64" ht="15.75" x14ac:dyDescent="0.25">
      <c r="A97" s="6" t="s">
        <v>54</v>
      </c>
      <c r="I97" s="7">
        <f>COUNTA(G100:I107)</f>
        <v>24</v>
      </c>
      <c r="K97" s="143"/>
      <c r="AV97" s="278" t="s">
        <v>43</v>
      </c>
      <c r="BL97" s="7">
        <f>COUNTA(BH99:BH103)</f>
        <v>5</v>
      </c>
    </row>
    <row r="98" spans="1:64" ht="15.75" x14ac:dyDescent="0.25">
      <c r="A98" s="371" t="s">
        <v>28</v>
      </c>
      <c r="B98" s="371"/>
      <c r="C98" s="371"/>
      <c r="D98" s="359" t="s">
        <v>29</v>
      </c>
      <c r="E98" s="359"/>
      <c r="F98" s="359"/>
      <c r="G98" s="360" t="s">
        <v>30</v>
      </c>
      <c r="H98" s="360"/>
      <c r="I98" s="360"/>
      <c r="K98" s="143"/>
      <c r="AW98" s="8" t="s">
        <v>28</v>
      </c>
      <c r="AX98" s="104"/>
      <c r="AY98" s="104"/>
      <c r="AZ98" s="104"/>
      <c r="BA98" s="104"/>
      <c r="BB98" s="104"/>
      <c r="BC98" s="11" t="s">
        <v>29</v>
      </c>
      <c r="BH98" s="17" t="s">
        <v>30</v>
      </c>
    </row>
    <row r="99" spans="1:64" x14ac:dyDescent="0.25">
      <c r="A99" s="289" t="s">
        <v>55</v>
      </c>
      <c r="B99" s="289" t="s">
        <v>56</v>
      </c>
      <c r="C99" s="289" t="s">
        <v>57</v>
      </c>
      <c r="D99" s="263" t="s">
        <v>55</v>
      </c>
      <c r="E99" s="263" t="s">
        <v>56</v>
      </c>
      <c r="F99" s="10" t="s">
        <v>57</v>
      </c>
      <c r="G99" s="274" t="s">
        <v>55</v>
      </c>
      <c r="H99" s="274" t="s">
        <v>56</v>
      </c>
      <c r="I99" s="274" t="s">
        <v>57</v>
      </c>
      <c r="K99" s="143"/>
      <c r="AV99" s="7" t="s">
        <v>265</v>
      </c>
      <c r="AW99" s="266" t="b">
        <v>1</v>
      </c>
      <c r="BC99" s="268"/>
      <c r="BH99" s="270" t="b">
        <f>AW99=BC99</f>
        <v>0</v>
      </c>
    </row>
    <row r="100" spans="1:64" x14ac:dyDescent="0.25">
      <c r="A100" s="273" t="s">
        <v>305</v>
      </c>
      <c r="B100" s="273" t="s">
        <v>317</v>
      </c>
      <c r="C100" s="273">
        <v>2023</v>
      </c>
      <c r="D100" s="10"/>
      <c r="E100" s="10"/>
      <c r="F100" s="10"/>
      <c r="G100" s="274" t="b">
        <f>EXACT(A100,D100)</f>
        <v>0</v>
      </c>
      <c r="H100" s="274" t="b">
        <f t="shared" ref="H100:I101" si="32">EXACT(B100,E100)</f>
        <v>0</v>
      </c>
      <c r="I100" s="274" t="b">
        <f t="shared" si="32"/>
        <v>0</v>
      </c>
      <c r="K100" s="143"/>
      <c r="AV100" s="7" t="s">
        <v>266</v>
      </c>
      <c r="AW100" s="273">
        <v>51</v>
      </c>
      <c r="BC100" s="10"/>
      <c r="BH100" s="270" t="b">
        <f t="shared" ref="BH100:BH103" si="33">AW100=BC100</f>
        <v>0</v>
      </c>
    </row>
    <row r="101" spans="1:64" x14ac:dyDescent="0.25">
      <c r="A101" s="273" t="s">
        <v>306</v>
      </c>
      <c r="B101" s="273" t="s">
        <v>317</v>
      </c>
      <c r="C101" s="273">
        <v>3661</v>
      </c>
      <c r="D101" s="10"/>
      <c r="E101" s="10"/>
      <c r="F101" s="10"/>
      <c r="G101" s="274" t="b">
        <f>EXACT(A101,D101)</f>
        <v>0</v>
      </c>
      <c r="H101" s="274" t="b">
        <f t="shared" si="32"/>
        <v>0</v>
      </c>
      <c r="I101" s="274" t="b">
        <f t="shared" si="32"/>
        <v>0</v>
      </c>
      <c r="K101" s="143"/>
      <c r="AV101" s="7" t="s">
        <v>55</v>
      </c>
      <c r="AW101" s="273" t="s">
        <v>548</v>
      </c>
      <c r="BC101" s="10"/>
      <c r="BH101" s="270" t="b">
        <f t="shared" si="33"/>
        <v>0</v>
      </c>
    </row>
    <row r="102" spans="1:64" x14ac:dyDescent="0.25">
      <c r="A102" s="273"/>
      <c r="B102" s="273"/>
      <c r="C102" s="273"/>
      <c r="D102" s="10"/>
      <c r="E102" s="10"/>
      <c r="F102" s="10"/>
      <c r="G102" s="274" t="b">
        <f t="shared" ref="G102:G107" si="34">EXACT(A102,D102)</f>
        <v>1</v>
      </c>
      <c r="H102" s="274" t="b">
        <f t="shared" ref="H102:H107" si="35">EXACT(B102,E102)</f>
        <v>1</v>
      </c>
      <c r="I102" s="274" t="b">
        <f t="shared" ref="I102:I107" si="36">EXACT(C102,F102)</f>
        <v>1</v>
      </c>
      <c r="K102" s="143"/>
      <c r="AV102" s="7" t="s">
        <v>56</v>
      </c>
      <c r="AW102" s="273">
        <v>182</v>
      </c>
      <c r="BC102" s="10"/>
      <c r="BH102" s="270" t="b">
        <f t="shared" si="33"/>
        <v>0</v>
      </c>
    </row>
    <row r="103" spans="1:64" x14ac:dyDescent="0.25">
      <c r="A103" s="273"/>
      <c r="B103" s="273"/>
      <c r="C103" s="273"/>
      <c r="D103" s="10"/>
      <c r="E103" s="10"/>
      <c r="F103" s="10"/>
      <c r="G103" s="274" t="b">
        <f t="shared" si="34"/>
        <v>1</v>
      </c>
      <c r="H103" s="274" t="b">
        <f t="shared" si="35"/>
        <v>1</v>
      </c>
      <c r="I103" s="274" t="b">
        <f t="shared" si="36"/>
        <v>1</v>
      </c>
      <c r="K103" s="143"/>
      <c r="AV103" s="7" t="s">
        <v>57</v>
      </c>
      <c r="AW103" s="273" t="s">
        <v>607</v>
      </c>
      <c r="BC103" s="10"/>
      <c r="BH103" s="270" t="b">
        <f t="shared" si="33"/>
        <v>0</v>
      </c>
    </row>
    <row r="104" spans="1:64" x14ac:dyDescent="0.25">
      <c r="A104" s="273"/>
      <c r="B104" s="273"/>
      <c r="C104" s="273"/>
      <c r="D104" s="10"/>
      <c r="E104" s="10"/>
      <c r="F104" s="10"/>
      <c r="G104" s="274" t="b">
        <f t="shared" si="34"/>
        <v>1</v>
      </c>
      <c r="H104" s="274" t="b">
        <f t="shared" si="35"/>
        <v>1</v>
      </c>
      <c r="I104" s="274" t="b">
        <f t="shared" si="36"/>
        <v>1</v>
      </c>
      <c r="K104" s="143"/>
    </row>
    <row r="105" spans="1:64" x14ac:dyDescent="0.25">
      <c r="A105" s="273"/>
      <c r="B105" s="273"/>
      <c r="C105" s="273"/>
      <c r="D105" s="10"/>
      <c r="E105" s="10"/>
      <c r="F105" s="10"/>
      <c r="G105" s="274" t="b">
        <f t="shared" si="34"/>
        <v>1</v>
      </c>
      <c r="H105" s="274" t="b">
        <f t="shared" si="35"/>
        <v>1</v>
      </c>
      <c r="I105" s="274" t="b">
        <f t="shared" si="36"/>
        <v>1</v>
      </c>
      <c r="K105" s="143"/>
    </row>
    <row r="106" spans="1:64" x14ac:dyDescent="0.25">
      <c r="A106" s="273"/>
      <c r="B106" s="273"/>
      <c r="C106" s="273"/>
      <c r="D106" s="10"/>
      <c r="E106" s="10"/>
      <c r="F106" s="10"/>
      <c r="G106" s="274" t="b">
        <f t="shared" si="34"/>
        <v>1</v>
      </c>
      <c r="H106" s="274" t="b">
        <f t="shared" si="35"/>
        <v>1</v>
      </c>
      <c r="I106" s="274" t="b">
        <f t="shared" si="36"/>
        <v>1</v>
      </c>
      <c r="K106" s="143"/>
    </row>
    <row r="107" spans="1:64" x14ac:dyDescent="0.25">
      <c r="A107" s="273"/>
      <c r="B107" s="273"/>
      <c r="C107" s="273"/>
      <c r="D107" s="10"/>
      <c r="E107" s="10"/>
      <c r="F107" s="10"/>
      <c r="G107" s="274" t="b">
        <f t="shared" si="34"/>
        <v>1</v>
      </c>
      <c r="H107" s="274" t="b">
        <f t="shared" si="35"/>
        <v>1</v>
      </c>
      <c r="I107" s="274" t="b">
        <f t="shared" si="36"/>
        <v>1</v>
      </c>
      <c r="K107" s="143"/>
      <c r="AV107" s="278" t="s">
        <v>54</v>
      </c>
      <c r="BL107" s="7">
        <f>COUNTA(BH109:BH112)</f>
        <v>4</v>
      </c>
    </row>
    <row r="108" spans="1:64" ht="15.75" x14ac:dyDescent="0.25">
      <c r="K108" s="143"/>
      <c r="AW108" s="8" t="s">
        <v>28</v>
      </c>
      <c r="BC108" s="11" t="s">
        <v>29</v>
      </c>
      <c r="BH108" s="17" t="s">
        <v>30</v>
      </c>
    </row>
    <row r="109" spans="1:64" x14ac:dyDescent="0.25">
      <c r="K109" s="143"/>
      <c r="AV109" s="7" t="s">
        <v>265</v>
      </c>
      <c r="AW109" s="266" t="b">
        <v>1</v>
      </c>
      <c r="BC109" s="268"/>
      <c r="BH109" s="270" t="b">
        <f>AW109=BC109</f>
        <v>0</v>
      </c>
    </row>
    <row r="110" spans="1:64" x14ac:dyDescent="0.25">
      <c r="K110" s="143"/>
      <c r="AV110" s="7" t="s">
        <v>266</v>
      </c>
      <c r="AW110" s="273">
        <v>51</v>
      </c>
      <c r="BC110" s="10"/>
      <c r="BH110" s="270" t="b">
        <f t="shared" ref="BH110:BH112" si="37">AW110=BC110</f>
        <v>0</v>
      </c>
    </row>
    <row r="111" spans="1:64" x14ac:dyDescent="0.25">
      <c r="K111" s="143"/>
      <c r="AV111" s="7" t="s">
        <v>267</v>
      </c>
      <c r="AW111" s="273" t="b">
        <v>1</v>
      </c>
      <c r="BC111" s="10"/>
      <c r="BH111" s="270" t="b">
        <f t="shared" si="37"/>
        <v>0</v>
      </c>
    </row>
    <row r="112" spans="1:64" x14ac:dyDescent="0.25">
      <c r="K112" s="143"/>
      <c r="AV112" s="7" t="s">
        <v>268</v>
      </c>
      <c r="AW112" s="273" t="b">
        <v>1</v>
      </c>
      <c r="BC112" s="10"/>
      <c r="BH112" s="270" t="b">
        <f t="shared" si="37"/>
        <v>0</v>
      </c>
    </row>
    <row r="113" spans="11:11" x14ac:dyDescent="0.25">
      <c r="K113" s="143"/>
    </row>
  </sheetData>
  <mergeCells count="53">
    <mergeCell ref="AP54:AQ54"/>
    <mergeCell ref="AL54:AM54"/>
    <mergeCell ref="AH54:AI54"/>
    <mergeCell ref="A83:D83"/>
    <mergeCell ref="AH30:AI30"/>
    <mergeCell ref="AL30:AM30"/>
    <mergeCell ref="AP30:AQ30"/>
    <mergeCell ref="W32:X32"/>
    <mergeCell ref="Z32:AA32"/>
    <mergeCell ref="AC32:AD32"/>
    <mergeCell ref="W39:X39"/>
    <mergeCell ref="Z39:AA39"/>
    <mergeCell ref="AC39:AD39"/>
    <mergeCell ref="AP3:AS3"/>
    <mergeCell ref="AH3:AK3"/>
    <mergeCell ref="AL3:AO3"/>
    <mergeCell ref="A98:C98"/>
    <mergeCell ref="D98:F98"/>
    <mergeCell ref="G98:I98"/>
    <mergeCell ref="A9:C9"/>
    <mergeCell ref="D9:F9"/>
    <mergeCell ref="G9:I9"/>
    <mergeCell ref="A26:C26"/>
    <mergeCell ref="D26:F26"/>
    <mergeCell ref="G26:I26"/>
    <mergeCell ref="A71:B71"/>
    <mergeCell ref="D71:E71"/>
    <mergeCell ref="G71:H71"/>
    <mergeCell ref="G83:H83"/>
    <mergeCell ref="L18:M18"/>
    <mergeCell ref="O18:P18"/>
    <mergeCell ref="R18:S18"/>
    <mergeCell ref="L37:M37"/>
    <mergeCell ref="O37:P37"/>
    <mergeCell ref="R37:S37"/>
    <mergeCell ref="X3:Y3"/>
    <mergeCell ref="AA3:AB3"/>
    <mergeCell ref="AD3:AE3"/>
    <mergeCell ref="W25:Y25"/>
    <mergeCell ref="Z25:AB25"/>
    <mergeCell ref="AC25:AE25"/>
    <mergeCell ref="AV91:AW91"/>
    <mergeCell ref="BB91:BC91"/>
    <mergeCell ref="BH91:BI91"/>
    <mergeCell ref="AV3:AW3"/>
    <mergeCell ref="BB3:BC3"/>
    <mergeCell ref="BH3:BI3"/>
    <mergeCell ref="BW26:BX26"/>
    <mergeCell ref="CB26:CC26"/>
    <mergeCell ref="BQ26:BS26"/>
    <mergeCell ref="AV27:AZ27"/>
    <mergeCell ref="BB27:BF27"/>
    <mergeCell ref="BH27:BL2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5AE5B-E7A2-45C3-8725-F1223E8D22B2}">
  <sheetPr codeName="Sheet7">
    <tabColor theme="4"/>
  </sheetPr>
  <dimension ref="A1:I22"/>
  <sheetViews>
    <sheetView showGridLines="0" zoomScaleNormal="100" workbookViewId="0">
      <selection activeCell="K13" sqref="K13"/>
    </sheetView>
  </sheetViews>
  <sheetFormatPr defaultRowHeight="15" x14ac:dyDescent="0.25"/>
  <cols>
    <col min="1" max="1" width="4" customWidth="1"/>
    <col min="2" max="2" width="6.140625" customWidth="1"/>
    <col min="3" max="3" width="16.140625" customWidth="1"/>
    <col min="4" max="4" width="7.5703125" customWidth="1"/>
    <col min="5" max="5" width="59.5703125" customWidth="1"/>
    <col min="6" max="6" width="13.140625" customWidth="1"/>
    <col min="7" max="7" width="15.7109375" customWidth="1"/>
    <col min="8" max="9" width="3.7109375" customWidth="1"/>
  </cols>
  <sheetData>
    <row r="1" spans="1:9" ht="4.5" customHeight="1" x14ac:dyDescent="0.25">
      <c r="A1" s="5"/>
      <c r="B1" s="12"/>
      <c r="C1" s="12"/>
      <c r="D1" s="12"/>
      <c r="E1" s="12"/>
      <c r="F1" s="12"/>
      <c r="G1" s="12"/>
      <c r="H1" s="5"/>
      <c r="I1" s="5"/>
    </row>
    <row r="2" spans="1:9" ht="4.5" customHeight="1" x14ac:dyDescent="0.25">
      <c r="A2" s="5"/>
      <c r="H2" s="5"/>
      <c r="I2" s="5"/>
    </row>
    <row r="3" spans="1:9" ht="30" customHeight="1" x14ac:dyDescent="0.25">
      <c r="A3" s="5"/>
      <c r="B3" s="390" t="s">
        <v>191</v>
      </c>
      <c r="C3" s="390"/>
      <c r="D3" s="390"/>
      <c r="E3" s="390"/>
      <c r="F3" s="390"/>
      <c r="G3" s="390"/>
      <c r="H3" s="5"/>
      <c r="I3" s="5"/>
    </row>
    <row r="4" spans="1:9" ht="18.75" x14ac:dyDescent="0.3">
      <c r="A4" s="5"/>
      <c r="B4" s="386" t="s">
        <v>25</v>
      </c>
      <c r="C4" s="387"/>
      <c r="D4" s="259" t="s">
        <v>731</v>
      </c>
      <c r="E4" s="259"/>
      <c r="F4" s="259"/>
      <c r="G4" s="259"/>
      <c r="H4" s="5"/>
      <c r="I4" s="5"/>
    </row>
    <row r="5" spans="1:9" ht="18.75" x14ac:dyDescent="0.3">
      <c r="A5" s="5"/>
      <c r="B5" s="386" t="s">
        <v>48</v>
      </c>
      <c r="C5" s="387"/>
      <c r="D5" s="260" t="s">
        <v>24</v>
      </c>
      <c r="E5" s="260"/>
      <c r="F5" s="260"/>
      <c r="G5" s="260"/>
      <c r="H5" s="5"/>
      <c r="I5" s="5"/>
    </row>
    <row r="6" spans="1:9" ht="18.75" x14ac:dyDescent="0.3">
      <c r="A6" s="5"/>
      <c r="B6" s="386" t="s">
        <v>49</v>
      </c>
      <c r="C6" s="387"/>
      <c r="D6" s="388">
        <v>45988.672442129631</v>
      </c>
      <c r="E6" s="388"/>
      <c r="F6" s="260"/>
      <c r="G6" s="260"/>
      <c r="H6" s="5"/>
      <c r="I6" s="5"/>
    </row>
    <row r="7" spans="1:9" ht="18.75" x14ac:dyDescent="0.3">
      <c r="A7" s="5"/>
      <c r="B7" s="386" t="s">
        <v>50</v>
      </c>
      <c r="C7" s="387"/>
      <c r="D7" s="388">
        <v>45988.672719907408</v>
      </c>
      <c r="E7" s="388"/>
      <c r="F7" s="260"/>
      <c r="G7" s="260"/>
      <c r="H7" s="5"/>
      <c r="I7" s="5"/>
    </row>
    <row r="8" spans="1:9" ht="18.75" x14ac:dyDescent="0.3">
      <c r="A8" s="5"/>
      <c r="B8" s="386" t="s">
        <v>51</v>
      </c>
      <c r="C8" s="387"/>
      <c r="D8" s="261">
        <f>IF(ROUND((D7-D6)*24*60, 0)&lt;1, 1, ROUND((D7-D6)*24*60, 0))</f>
        <v>1</v>
      </c>
      <c r="E8" s="260"/>
      <c r="F8" s="260"/>
      <c r="G8" s="260"/>
      <c r="H8" s="5"/>
      <c r="I8" s="5"/>
    </row>
    <row r="9" spans="1:9" ht="7.5" customHeight="1" x14ac:dyDescent="0.3">
      <c r="A9" s="5"/>
      <c r="B9" s="386"/>
      <c r="C9" s="387"/>
      <c r="D9" s="257"/>
      <c r="E9" s="258"/>
      <c r="F9" s="15"/>
      <c r="G9" s="15"/>
      <c r="H9" s="5"/>
      <c r="I9" s="5"/>
    </row>
    <row r="10" spans="1:9" ht="21" thickBot="1" x14ac:dyDescent="0.35">
      <c r="A10" s="5"/>
      <c r="B10" s="389" t="s">
        <v>53</v>
      </c>
      <c r="C10" s="389"/>
      <c r="D10" s="16">
        <f>SUM(F19)</f>
        <v>0</v>
      </c>
      <c r="E10" s="13" t="str">
        <f>"/"&amp;SUM(G19)&amp;" điểm"</f>
        <v>/10 điểm</v>
      </c>
      <c r="F10" s="14"/>
      <c r="G10" s="14"/>
      <c r="H10" s="5"/>
      <c r="I10" s="5"/>
    </row>
    <row r="11" spans="1:9" ht="9.9499999999999993" customHeight="1" thickTop="1" x14ac:dyDescent="0.3">
      <c r="A11" s="5"/>
      <c r="B11" s="285"/>
      <c r="C11" s="286"/>
      <c r="D11" s="286"/>
      <c r="E11" s="286"/>
      <c r="F11" s="286"/>
      <c r="G11" s="286"/>
      <c r="H11" s="5"/>
      <c r="I11" s="5"/>
    </row>
    <row r="12" spans="1:9" ht="20.100000000000001" customHeight="1" x14ac:dyDescent="0.25">
      <c r="A12" s="5"/>
      <c r="B12" s="346" t="s">
        <v>46</v>
      </c>
      <c r="C12" s="385" t="s">
        <v>47</v>
      </c>
      <c r="D12" s="385"/>
      <c r="E12" s="385"/>
      <c r="F12" s="347" t="s">
        <v>52</v>
      </c>
      <c r="G12" s="347" t="s">
        <v>44</v>
      </c>
      <c r="H12" s="5"/>
      <c r="I12" s="5"/>
    </row>
    <row r="13" spans="1:9" ht="32.1" customHeight="1" x14ac:dyDescent="0.25">
      <c r="A13" s="5"/>
      <c r="B13" s="348">
        <f>IF(C13="","",1)</f>
        <v>1</v>
      </c>
      <c r="C13" s="384" t="str">
        <f>IF('Đề bài'!B11="","",'Đề bài'!B11)</f>
        <v>Cấu hình trang tính “Tháng 2” để in các ô A4:F16.</v>
      </c>
      <c r="D13" s="384"/>
      <c r="E13" s="384"/>
      <c r="F13" s="349">
        <f>IF(COUNTIF(Process!R4:T6, TRUE)=Process!T2, G13, 0)</f>
        <v>0</v>
      </c>
      <c r="G13" s="349">
        <v>2</v>
      </c>
      <c r="H13" s="5"/>
      <c r="I13" s="5"/>
    </row>
    <row r="14" spans="1:9" ht="39.75" customHeight="1" x14ac:dyDescent="0.25">
      <c r="A14" s="5"/>
      <c r="B14" s="348">
        <f>IF(C14="","",B13+1)</f>
        <v>2</v>
      </c>
      <c r="C14" s="384" t="str">
        <f>IF('Đề bài'!B12="","",'Đề bài'!B12)</f>
        <v>Trên trang tính “Tháng 1”, lọc dữ liệu cho bảng để chỉ hiển thị những nội dung có "Chiết khấu" là "Yes"</v>
      </c>
      <c r="D14" s="384"/>
      <c r="E14" s="384"/>
      <c r="F14" s="349">
        <f>IF(COUNTIF(Process!R12:T14, TRUE)=Process!T10, G14, 0)</f>
        <v>0</v>
      </c>
      <c r="G14" s="349">
        <v>2</v>
      </c>
      <c r="H14" s="5"/>
      <c r="I14" s="5"/>
    </row>
    <row r="15" spans="1:9" ht="39.75" customHeight="1" x14ac:dyDescent="0.25">
      <c r="A15" s="5"/>
      <c r="B15" s="348">
        <f t="shared" ref="B15:B18" si="0">IF(C15="","",B14+1)</f>
        <v>3</v>
      </c>
      <c r="C15" s="384" t="str">
        <f>IF('Đề bài'!B13="","",'Đề bài'!B13)</f>
        <v>Trên trang tính “Tháng 2”, trong cột “Chiết khấu”, sử dùng hàm để hiển thị “YES” nếu “Số năm tham gia” lớn hơn 5. Ngược lại hiển thị “NO”.</v>
      </c>
      <c r="D15" s="384"/>
      <c r="E15" s="384"/>
      <c r="F15" s="349">
        <f>IF(COUNTIF(Process!R20:S31, TRUE)=Process!T17, G15, 0)</f>
        <v>0</v>
      </c>
      <c r="G15" s="349">
        <v>2</v>
      </c>
      <c r="H15" s="5"/>
      <c r="I15" s="5"/>
    </row>
    <row r="16" spans="1:9" ht="39.75" customHeight="1" x14ac:dyDescent="0.25">
      <c r="A16" s="5"/>
      <c r="B16" s="348">
        <f t="shared" si="0"/>
        <v>4</v>
      </c>
      <c r="C16" s="384" t="str">
        <f>IF('Đề bài'!B14="","",'Đề bài'!B14)</f>
        <v>Trên trang tính “Tháng 2”, trong cột “Loại hợp đồng”, Sử dụng hàm để hiển thị hai ký tự đầu tiên của “Mã hợp đồng” trong cột B.</v>
      </c>
      <c r="D16" s="384"/>
      <c r="E16" s="384"/>
      <c r="F16" s="349">
        <f>IF(COUNTIF(Process!R39:S50, TRUE)=Process!T36, G16, 0)</f>
        <v>0</v>
      </c>
      <c r="G16" s="349">
        <v>2</v>
      </c>
      <c r="H16" s="5"/>
      <c r="I16" s="5"/>
    </row>
    <row r="17" spans="1:9" ht="39.75" customHeight="1" x14ac:dyDescent="0.25">
      <c r="A17" s="5"/>
      <c r="B17" s="348">
        <f t="shared" si="0"/>
        <v>5</v>
      </c>
      <c r="C17" s="384" t="str">
        <f>IF('Đề bài'!B15="","",'Đề bài'!B15)</f>
        <v>Trên trang tính “Tổng hợp 3 tháng”, thêm văn bản thay thế (Alt text) với nội dung “New Data” cho biểu đồ.</v>
      </c>
      <c r="D17" s="384"/>
      <c r="E17" s="384"/>
      <c r="F17" s="349">
        <f>IF(COUNTIF(Process!R57:T59, TRUE)=Process!T55, G17, 0)</f>
        <v>0</v>
      </c>
      <c r="G17" s="349">
        <v>2</v>
      </c>
      <c r="H17" s="5"/>
      <c r="I17" s="5"/>
    </row>
    <row r="18" spans="1:9" ht="9.9499999999999993" customHeight="1" x14ac:dyDescent="0.25">
      <c r="A18" s="5"/>
      <c r="B18" s="348" t="str">
        <f t="shared" si="0"/>
        <v/>
      </c>
      <c r="C18" s="384" t="str">
        <f>IF('Đề bài'!B16="","",'Đề bài'!B16)</f>
        <v/>
      </c>
      <c r="D18" s="384"/>
      <c r="E18" s="384"/>
      <c r="F18" s="349"/>
      <c r="G18" s="349"/>
      <c r="H18" s="5"/>
      <c r="I18" s="5"/>
    </row>
    <row r="19" spans="1:9" ht="24" customHeight="1" thickBot="1" x14ac:dyDescent="0.35">
      <c r="A19" s="5"/>
      <c r="B19" s="350"/>
      <c r="C19" s="351" t="s">
        <v>45</v>
      </c>
      <c r="D19" s="351"/>
      <c r="E19" s="351"/>
      <c r="F19" s="352">
        <f>SUM(F13:F18)</f>
        <v>0</v>
      </c>
      <c r="G19" s="353">
        <f>SUM(G13:G18)</f>
        <v>10</v>
      </c>
      <c r="H19" s="5"/>
      <c r="I19" s="5"/>
    </row>
    <row r="20" spans="1:9" ht="27" customHeight="1" thickTop="1" x14ac:dyDescent="0.25">
      <c r="A20" s="5"/>
      <c r="B20" s="5"/>
      <c r="C20" s="5"/>
      <c r="D20" s="5"/>
      <c r="E20" s="5"/>
      <c r="F20" s="5"/>
      <c r="G20" s="5"/>
      <c r="H20" s="5"/>
      <c r="I20" s="5"/>
    </row>
    <row r="21" spans="1:9" ht="27" customHeight="1" x14ac:dyDescent="0.25">
      <c r="A21" s="5"/>
      <c r="B21" s="5"/>
      <c r="C21" s="5"/>
      <c r="D21" s="5"/>
      <c r="E21" s="5"/>
      <c r="F21" s="5"/>
      <c r="G21" s="5"/>
      <c r="H21" s="5"/>
      <c r="I21" s="5"/>
    </row>
    <row r="22" spans="1:9" ht="27" customHeight="1" x14ac:dyDescent="0.25">
      <c r="A22" s="5"/>
      <c r="B22" s="5"/>
      <c r="C22" s="5"/>
      <c r="D22" s="5"/>
      <c r="E22" s="5"/>
      <c r="F22" s="5"/>
      <c r="G22" s="5"/>
      <c r="H22" s="5"/>
      <c r="I22" s="5"/>
    </row>
  </sheetData>
  <sheetProtection algorithmName="SHA-512" hashValue="nY1+d4R2VpIhR8EFCiWaOl+Q/5LXtT446XXUSzxE5KXaGVgQzPoVd2A2Wr03CEGMgssuoFX2+zYQu6pHTqXyAQ==" saltValue="IepZ2AbsCXhBWt+0rJplQQ==" spinCount="100000" sheet="1" objects="1" scenarios="1" formatCells="0" formatColumns="0" formatRows="0"/>
  <mergeCells count="17">
    <mergeCell ref="B3:G3"/>
    <mergeCell ref="B4:C4"/>
    <mergeCell ref="B5:C5"/>
    <mergeCell ref="B6:C6"/>
    <mergeCell ref="D6:E6"/>
    <mergeCell ref="B7:C7"/>
    <mergeCell ref="D7:E7"/>
    <mergeCell ref="B8:C8"/>
    <mergeCell ref="B9:C9"/>
    <mergeCell ref="B10:C10"/>
    <mergeCell ref="C17:E17"/>
    <mergeCell ref="C18:E18"/>
    <mergeCell ref="C12:E12"/>
    <mergeCell ref="C13:E13"/>
    <mergeCell ref="C14:E14"/>
    <mergeCell ref="C15:E15"/>
    <mergeCell ref="C16:E16"/>
  </mergeCells>
  <printOptions horizontalCentered="1"/>
  <pageMargins left="0.51181102362204722" right="0.51181102362204722" top="0.74803149606299213" bottom="0.74803149606299213" header="0.31496062992125984" footer="0.31496062992125984"/>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96CEA-3D54-4D45-A557-937B149FFE96}">
  <sheetPr codeName="Sheet6"/>
  <dimension ref="A1:X28"/>
  <sheetViews>
    <sheetView showGridLines="0" tabSelected="1" workbookViewId="0">
      <selection activeCell="G17" sqref="G17:K17"/>
    </sheetView>
  </sheetViews>
  <sheetFormatPr defaultRowHeight="15" x14ac:dyDescent="0.25"/>
  <cols>
    <col min="1" max="1" width="8.7109375" customWidth="1"/>
    <col min="8" max="8" width="6.7109375" customWidth="1"/>
    <col min="14" max="14" width="8.7109375" customWidth="1"/>
  </cols>
  <sheetData>
    <row r="1" spans="1:24" x14ac:dyDescent="0.25">
      <c r="A1" s="5"/>
      <c r="B1" s="18"/>
      <c r="C1" s="18"/>
      <c r="D1" s="18"/>
      <c r="E1" s="18"/>
      <c r="F1" s="18"/>
      <c r="G1" s="18"/>
      <c r="H1" s="18"/>
      <c r="I1" s="18"/>
      <c r="J1" s="18"/>
      <c r="K1" s="18"/>
      <c r="L1" s="18"/>
      <c r="M1" s="18"/>
      <c r="N1" s="5"/>
      <c r="O1" s="5"/>
      <c r="P1" s="5"/>
      <c r="Q1" s="5"/>
      <c r="R1" s="5"/>
      <c r="S1" s="5"/>
      <c r="T1" s="5"/>
      <c r="U1" s="5"/>
      <c r="V1" s="5"/>
      <c r="W1" s="5"/>
      <c r="X1" s="5"/>
    </row>
    <row r="2" spans="1:24" ht="12.95" customHeight="1" x14ac:dyDescent="0.25">
      <c r="A2" s="5"/>
      <c r="B2" s="19"/>
      <c r="C2" s="20"/>
      <c r="D2" s="20"/>
      <c r="E2" s="20"/>
      <c r="F2" s="20"/>
      <c r="G2" s="20"/>
      <c r="H2" s="20"/>
      <c r="I2" s="20"/>
      <c r="J2" s="20"/>
      <c r="K2" s="20"/>
      <c r="L2" s="20"/>
      <c r="M2" s="21"/>
      <c r="N2" s="5"/>
      <c r="O2" s="5"/>
      <c r="P2" s="5"/>
      <c r="Q2" s="5"/>
      <c r="R2" s="5"/>
      <c r="S2" s="5"/>
      <c r="T2" s="5"/>
      <c r="U2" s="5"/>
      <c r="V2" s="5"/>
      <c r="W2" s="5"/>
      <c r="X2" s="5"/>
    </row>
    <row r="3" spans="1:24" ht="12.95" customHeight="1" x14ac:dyDescent="0.25">
      <c r="A3" s="5"/>
      <c r="B3" s="22"/>
      <c r="M3" s="23"/>
      <c r="N3" s="5"/>
      <c r="O3" s="5"/>
      <c r="P3" s="5"/>
      <c r="Q3" s="5"/>
      <c r="R3" s="5"/>
      <c r="S3" s="5"/>
      <c r="T3" s="5"/>
      <c r="U3" s="5"/>
      <c r="V3" s="5"/>
      <c r="W3" s="5"/>
      <c r="X3" s="5"/>
    </row>
    <row r="4" spans="1:24" ht="12.95" customHeight="1" x14ac:dyDescent="0.25">
      <c r="A4" s="5"/>
      <c r="B4" s="22"/>
      <c r="M4" s="23"/>
      <c r="N4" s="5"/>
      <c r="O4" s="5"/>
      <c r="P4" s="5"/>
      <c r="Q4" s="5"/>
      <c r="R4" s="5"/>
      <c r="S4" s="5"/>
      <c r="T4" s="5"/>
      <c r="U4" s="5"/>
      <c r="V4" s="5"/>
      <c r="W4" s="5"/>
      <c r="X4" s="5"/>
    </row>
    <row r="5" spans="1:24" ht="12.95" customHeight="1" x14ac:dyDescent="0.25">
      <c r="A5" s="5"/>
      <c r="B5" s="22"/>
      <c r="M5" s="23"/>
      <c r="N5" s="5"/>
      <c r="O5" s="5"/>
      <c r="P5" s="5"/>
      <c r="Q5" s="5"/>
      <c r="R5" s="5"/>
      <c r="S5" s="5"/>
      <c r="T5" s="5"/>
      <c r="U5" s="5"/>
      <c r="V5" s="5"/>
      <c r="W5" s="5"/>
      <c r="X5" s="5"/>
    </row>
    <row r="6" spans="1:24" ht="12.95" customHeight="1" x14ac:dyDescent="0.25">
      <c r="A6" s="5"/>
      <c r="B6" s="22"/>
      <c r="M6" s="23"/>
      <c r="N6" s="5"/>
      <c r="O6" s="5"/>
      <c r="P6" s="5"/>
      <c r="Q6" s="5"/>
      <c r="R6" s="5"/>
      <c r="S6" s="5"/>
      <c r="T6" s="5"/>
      <c r="U6" s="5"/>
      <c r="V6" s="5"/>
      <c r="W6" s="5"/>
      <c r="X6" s="5"/>
    </row>
    <row r="7" spans="1:24" x14ac:dyDescent="0.25">
      <c r="A7" s="5"/>
      <c r="B7" s="391" t="s">
        <v>59</v>
      </c>
      <c r="C7" s="392"/>
      <c r="D7" s="392"/>
      <c r="E7" s="392"/>
      <c r="F7" s="392"/>
      <c r="G7" s="392"/>
      <c r="H7" s="392"/>
      <c r="I7" s="392"/>
      <c r="J7" s="392"/>
      <c r="K7" s="392"/>
      <c r="L7" s="392"/>
      <c r="M7" s="393"/>
      <c r="N7" s="5"/>
      <c r="O7" s="5"/>
      <c r="P7" s="5"/>
      <c r="Q7" s="5"/>
      <c r="R7" s="5"/>
      <c r="S7" s="5"/>
      <c r="T7" s="5"/>
      <c r="U7" s="5"/>
      <c r="V7" s="5"/>
      <c r="W7" s="5"/>
      <c r="X7" s="5"/>
    </row>
    <row r="8" spans="1:24" x14ac:dyDescent="0.25">
      <c r="A8" s="5"/>
      <c r="B8" s="391"/>
      <c r="C8" s="392"/>
      <c r="D8" s="392"/>
      <c r="E8" s="392"/>
      <c r="F8" s="392"/>
      <c r="G8" s="392"/>
      <c r="H8" s="392"/>
      <c r="I8" s="392"/>
      <c r="J8" s="392"/>
      <c r="K8" s="392"/>
      <c r="L8" s="392"/>
      <c r="M8" s="393"/>
      <c r="N8" s="5"/>
      <c r="O8" s="5"/>
      <c r="P8" s="5"/>
      <c r="Q8" s="5"/>
      <c r="R8" s="5"/>
      <c r="S8" s="5"/>
      <c r="T8" s="5"/>
      <c r="U8" s="5"/>
      <c r="V8" s="5"/>
      <c r="W8" s="5"/>
      <c r="X8" s="5"/>
    </row>
    <row r="9" spans="1:24" x14ac:dyDescent="0.25">
      <c r="A9" s="5"/>
      <c r="B9" s="391"/>
      <c r="C9" s="392"/>
      <c r="D9" s="392"/>
      <c r="E9" s="392"/>
      <c r="F9" s="392"/>
      <c r="G9" s="392"/>
      <c r="H9" s="392"/>
      <c r="I9" s="392"/>
      <c r="J9" s="392"/>
      <c r="K9" s="392"/>
      <c r="L9" s="392"/>
      <c r="M9" s="393"/>
      <c r="N9" s="5"/>
      <c r="O9" s="5"/>
      <c r="P9" s="5"/>
      <c r="Q9" s="5"/>
      <c r="R9" s="5"/>
      <c r="S9" s="5"/>
      <c r="T9" s="5"/>
      <c r="U9" s="5"/>
      <c r="V9" s="5"/>
      <c r="W9" s="5"/>
      <c r="X9" s="5"/>
    </row>
    <row r="10" spans="1:24" x14ac:dyDescent="0.25">
      <c r="A10" s="5"/>
      <c r="B10" s="394" t="s">
        <v>730</v>
      </c>
      <c r="C10" s="395"/>
      <c r="D10" s="395"/>
      <c r="E10" s="395"/>
      <c r="F10" s="395"/>
      <c r="G10" s="395"/>
      <c r="H10" s="395"/>
      <c r="I10" s="395"/>
      <c r="J10" s="395"/>
      <c r="K10" s="395"/>
      <c r="L10" s="395"/>
      <c r="M10" s="396"/>
      <c r="N10" s="5"/>
      <c r="O10" s="5"/>
      <c r="P10" s="5"/>
      <c r="Q10" s="5"/>
      <c r="R10" s="5"/>
      <c r="S10" s="5"/>
      <c r="T10" s="5"/>
      <c r="U10" s="5"/>
      <c r="V10" s="5"/>
      <c r="W10" s="5"/>
      <c r="X10" s="5"/>
    </row>
    <row r="11" spans="1:24" x14ac:dyDescent="0.25">
      <c r="A11" s="5"/>
      <c r="B11" s="394"/>
      <c r="C11" s="395"/>
      <c r="D11" s="395"/>
      <c r="E11" s="395"/>
      <c r="F11" s="395"/>
      <c r="G11" s="395"/>
      <c r="H11" s="395"/>
      <c r="I11" s="395"/>
      <c r="J11" s="395"/>
      <c r="K11" s="395"/>
      <c r="L11" s="395"/>
      <c r="M11" s="396"/>
      <c r="N11" s="5"/>
      <c r="O11" s="5"/>
      <c r="P11" s="5"/>
      <c r="Q11" s="5"/>
      <c r="R11" s="5"/>
      <c r="S11" s="5"/>
      <c r="T11" s="5"/>
      <c r="U11" s="5"/>
      <c r="V11" s="5"/>
      <c r="W11" s="5"/>
      <c r="X11" s="5"/>
    </row>
    <row r="12" spans="1:24" x14ac:dyDescent="0.25">
      <c r="A12" s="5"/>
      <c r="B12" s="394"/>
      <c r="C12" s="395"/>
      <c r="D12" s="395"/>
      <c r="E12" s="395"/>
      <c r="F12" s="395"/>
      <c r="G12" s="395"/>
      <c r="H12" s="395"/>
      <c r="I12" s="395"/>
      <c r="J12" s="395"/>
      <c r="K12" s="395"/>
      <c r="L12" s="395"/>
      <c r="M12" s="396"/>
      <c r="N12" s="5"/>
      <c r="O12" s="5"/>
      <c r="P12" s="5"/>
      <c r="Q12" s="5"/>
      <c r="R12" s="5"/>
      <c r="S12" s="5"/>
      <c r="T12" s="5"/>
      <c r="U12" s="5"/>
      <c r="V12" s="5"/>
      <c r="W12" s="5"/>
      <c r="X12" s="5"/>
    </row>
    <row r="13" spans="1:24" ht="20.25" x14ac:dyDescent="0.25">
      <c r="A13" s="24"/>
      <c r="B13" s="397" t="s">
        <v>22</v>
      </c>
      <c r="C13" s="398"/>
      <c r="D13" s="398"/>
      <c r="E13" s="398"/>
      <c r="F13" s="398"/>
      <c r="G13" s="398"/>
      <c r="H13" s="25">
        <v>10</v>
      </c>
      <c r="I13" s="26" t="s">
        <v>23</v>
      </c>
      <c r="J13" s="26"/>
      <c r="K13" s="26"/>
      <c r="L13" s="26"/>
      <c r="M13" s="27"/>
      <c r="N13" s="24"/>
      <c r="O13" s="24"/>
      <c r="P13" s="24"/>
      <c r="Q13" s="24"/>
      <c r="R13" s="24"/>
      <c r="S13" s="24"/>
      <c r="T13" s="24"/>
      <c r="U13" s="24"/>
      <c r="V13" s="24"/>
      <c r="W13" s="24"/>
      <c r="X13" s="24"/>
    </row>
    <row r="14" spans="1:24" x14ac:dyDescent="0.25">
      <c r="A14" s="5"/>
      <c r="B14" s="22"/>
      <c r="M14" s="23"/>
      <c r="N14" s="5"/>
      <c r="O14" s="5"/>
      <c r="P14" s="5"/>
      <c r="Q14" s="5"/>
      <c r="R14" s="5"/>
      <c r="S14" s="5"/>
      <c r="T14" s="5"/>
      <c r="U14" s="5"/>
      <c r="V14" s="5"/>
      <c r="W14" s="5"/>
      <c r="X14" s="5"/>
    </row>
    <row r="15" spans="1:24" ht="24" customHeight="1" thickBot="1" x14ac:dyDescent="0.35">
      <c r="A15" s="5"/>
      <c r="B15" s="22"/>
      <c r="F15" s="28" t="s">
        <v>25</v>
      </c>
      <c r="G15" s="399"/>
      <c r="H15" s="400"/>
      <c r="I15" s="400"/>
      <c r="J15" s="400"/>
      <c r="K15" s="401"/>
      <c r="M15" s="23"/>
      <c r="N15" s="5"/>
      <c r="O15" s="5"/>
      <c r="P15" s="5"/>
      <c r="Q15" s="5"/>
      <c r="R15" s="5"/>
      <c r="S15" s="5"/>
      <c r="T15" s="5"/>
      <c r="U15" s="5"/>
      <c r="V15" s="5"/>
      <c r="W15" s="5"/>
      <c r="X15" s="5"/>
    </row>
    <row r="16" spans="1:24" ht="15.75" thickTop="1" x14ac:dyDescent="0.25">
      <c r="A16" s="5"/>
      <c r="B16" s="22"/>
      <c r="M16" s="23"/>
      <c r="N16" s="5"/>
      <c r="O16" s="5"/>
      <c r="P16" s="5"/>
      <c r="Q16" s="5"/>
      <c r="R16" s="5"/>
      <c r="S16" s="5"/>
      <c r="T16" s="5"/>
      <c r="U16" s="5"/>
      <c r="V16" s="5"/>
      <c r="W16" s="5"/>
      <c r="X16" s="5"/>
    </row>
    <row r="17" spans="1:24" ht="24" customHeight="1" thickBot="1" x14ac:dyDescent="0.35">
      <c r="A17" s="5"/>
      <c r="B17" s="22"/>
      <c r="F17" s="28" t="s">
        <v>26</v>
      </c>
      <c r="G17" s="399"/>
      <c r="H17" s="400"/>
      <c r="I17" s="400"/>
      <c r="J17" s="400"/>
      <c r="K17" s="401"/>
      <c r="M17" s="23"/>
      <c r="N17" s="5"/>
      <c r="O17" s="5"/>
      <c r="P17" s="5"/>
      <c r="Q17" s="5"/>
      <c r="R17" s="5"/>
      <c r="S17" s="5"/>
      <c r="T17" s="5"/>
      <c r="U17" s="5"/>
      <c r="V17" s="5"/>
      <c r="W17" s="5"/>
      <c r="X17" s="5"/>
    </row>
    <row r="18" spans="1:24" ht="15.75" thickTop="1" x14ac:dyDescent="0.25">
      <c r="A18" s="5"/>
      <c r="B18" s="22"/>
      <c r="M18" s="23"/>
      <c r="N18" s="5"/>
      <c r="O18" s="5"/>
      <c r="P18" s="5"/>
      <c r="Q18" s="5"/>
      <c r="R18" s="5"/>
      <c r="S18" s="5"/>
      <c r="T18" s="5"/>
      <c r="U18" s="5"/>
      <c r="V18" s="5"/>
      <c r="W18" s="5"/>
      <c r="X18" s="5"/>
    </row>
    <row r="19" spans="1:24" x14ac:dyDescent="0.25">
      <c r="A19" s="5"/>
      <c r="B19" s="22"/>
      <c r="M19" s="23"/>
      <c r="N19" s="5"/>
      <c r="O19" s="5"/>
      <c r="P19" s="5"/>
      <c r="Q19" s="5"/>
      <c r="R19" s="5"/>
      <c r="S19" s="5"/>
      <c r="T19" s="5"/>
      <c r="U19" s="5"/>
      <c r="V19" s="5"/>
      <c r="W19" s="5"/>
      <c r="X19" s="5"/>
    </row>
    <row r="20" spans="1:24" x14ac:dyDescent="0.25">
      <c r="A20" s="5"/>
      <c r="B20" s="22"/>
      <c r="M20" s="23"/>
      <c r="N20" s="5"/>
      <c r="O20" s="5"/>
      <c r="P20" s="5"/>
      <c r="Q20" s="5"/>
      <c r="R20" s="5"/>
      <c r="S20" s="5"/>
      <c r="T20" s="5"/>
      <c r="U20" s="5"/>
      <c r="V20" s="5"/>
      <c r="W20" s="5"/>
      <c r="X20" s="5"/>
    </row>
    <row r="21" spans="1:24" x14ac:dyDescent="0.25">
      <c r="A21" s="5"/>
      <c r="B21" s="22"/>
      <c r="M21" s="23"/>
      <c r="N21" s="5"/>
      <c r="O21" s="5"/>
      <c r="P21" s="5"/>
      <c r="Q21" s="5"/>
      <c r="R21" s="5"/>
      <c r="S21" s="5"/>
      <c r="T21" s="5"/>
      <c r="U21" s="5"/>
      <c r="V21" s="5"/>
      <c r="W21" s="5"/>
      <c r="X21" s="5"/>
    </row>
    <row r="22" spans="1:24" x14ac:dyDescent="0.25">
      <c r="A22" s="5"/>
      <c r="B22" s="22"/>
      <c r="M22" s="23"/>
      <c r="N22" s="5"/>
      <c r="O22" s="5"/>
      <c r="P22" s="5"/>
      <c r="Q22" s="5"/>
      <c r="R22" s="5"/>
      <c r="S22" s="5"/>
      <c r="T22" s="5"/>
      <c r="U22" s="5"/>
      <c r="V22" s="5"/>
      <c r="W22" s="5"/>
      <c r="X22" s="5"/>
    </row>
    <row r="23" spans="1:24" ht="15.75" thickBot="1" x14ac:dyDescent="0.3">
      <c r="A23" s="5"/>
      <c r="B23" s="29"/>
      <c r="C23" s="30"/>
      <c r="D23" s="30"/>
      <c r="E23" s="30"/>
      <c r="F23" s="30"/>
      <c r="G23" s="30"/>
      <c r="H23" s="30"/>
      <c r="I23" s="30"/>
      <c r="J23" s="30"/>
      <c r="K23" s="30"/>
      <c r="L23" s="30"/>
      <c r="M23" s="31"/>
      <c r="N23" s="5"/>
      <c r="O23" s="5"/>
      <c r="P23" s="5"/>
      <c r="Q23" s="5"/>
      <c r="R23" s="5"/>
      <c r="S23" s="5"/>
      <c r="T23" s="5"/>
      <c r="U23" s="5"/>
      <c r="V23" s="5"/>
      <c r="W23" s="5"/>
      <c r="X23" s="5"/>
    </row>
    <row r="24" spans="1:24" ht="15.75" thickTop="1" x14ac:dyDescent="0.25">
      <c r="A24" s="5"/>
      <c r="B24" s="5"/>
      <c r="C24" s="5"/>
      <c r="D24" s="5"/>
      <c r="E24" s="5"/>
      <c r="F24" s="5"/>
      <c r="G24" s="5"/>
      <c r="H24" s="5"/>
      <c r="I24" s="5"/>
      <c r="J24" s="5"/>
      <c r="K24" s="5"/>
      <c r="L24" s="5"/>
      <c r="M24" s="5"/>
      <c r="N24" s="5"/>
      <c r="O24" s="5"/>
      <c r="P24" s="5"/>
      <c r="Q24" s="5"/>
      <c r="R24" s="5"/>
      <c r="S24" s="5"/>
      <c r="T24" s="5"/>
      <c r="U24" s="5"/>
      <c r="V24" s="5"/>
      <c r="W24" s="5"/>
      <c r="X24" s="5"/>
    </row>
    <row r="25" spans="1:24" x14ac:dyDescent="0.25">
      <c r="A25" s="5"/>
      <c r="B25" s="5"/>
      <c r="C25" s="5"/>
      <c r="D25" s="5"/>
      <c r="E25" s="5"/>
      <c r="F25" s="5"/>
      <c r="G25" s="5"/>
      <c r="H25" s="5"/>
      <c r="I25" s="5"/>
      <c r="J25" s="5"/>
      <c r="K25" s="5"/>
      <c r="L25" s="5"/>
      <c r="M25" s="5"/>
      <c r="N25" s="5"/>
      <c r="O25" s="5"/>
      <c r="P25" s="5"/>
      <c r="Q25" s="5"/>
      <c r="R25" s="5"/>
      <c r="S25" s="5"/>
      <c r="T25" s="5"/>
      <c r="U25" s="5"/>
      <c r="V25" s="5"/>
      <c r="W25" s="5"/>
      <c r="X25" s="5"/>
    </row>
    <row r="26" spans="1:24" x14ac:dyDescent="0.25">
      <c r="A26" s="5"/>
      <c r="B26" s="5"/>
      <c r="C26" s="5"/>
      <c r="D26" s="5"/>
      <c r="E26" s="5"/>
      <c r="F26" s="5"/>
      <c r="G26" s="5"/>
      <c r="H26" s="5"/>
      <c r="I26" s="5"/>
      <c r="J26" s="5"/>
      <c r="K26" s="5"/>
      <c r="L26" s="5"/>
      <c r="M26" s="5"/>
      <c r="N26" s="5"/>
      <c r="O26" s="5"/>
      <c r="P26" s="5"/>
      <c r="Q26" s="5"/>
      <c r="R26" s="5"/>
      <c r="S26" s="5"/>
      <c r="T26" s="5"/>
      <c r="U26" s="5"/>
      <c r="V26" s="5"/>
      <c r="W26" s="5"/>
      <c r="X26" s="5"/>
    </row>
    <row r="27" spans="1:24" x14ac:dyDescent="0.25">
      <c r="A27" s="5"/>
      <c r="B27" s="5"/>
      <c r="C27" s="5"/>
      <c r="D27" s="5"/>
      <c r="E27" s="5"/>
      <c r="F27" s="5"/>
      <c r="G27" s="5"/>
      <c r="H27" s="5"/>
      <c r="I27" s="5"/>
      <c r="J27" s="5"/>
      <c r="K27" s="5"/>
      <c r="L27" s="5"/>
      <c r="M27" s="5"/>
      <c r="N27" s="5"/>
      <c r="O27" s="5"/>
      <c r="P27" s="5"/>
      <c r="Q27" s="5"/>
      <c r="R27" s="5"/>
      <c r="S27" s="5"/>
      <c r="T27" s="5"/>
      <c r="U27" s="5"/>
      <c r="V27" s="5"/>
      <c r="W27" s="5"/>
      <c r="X27" s="5"/>
    </row>
    <row r="28" spans="1:24" x14ac:dyDescent="0.25">
      <c r="A28" s="5"/>
      <c r="B28" s="5"/>
      <c r="C28" s="5"/>
      <c r="D28" s="5"/>
      <c r="E28" s="5"/>
      <c r="F28" s="5"/>
      <c r="G28" s="5"/>
      <c r="H28" s="5"/>
      <c r="I28" s="5"/>
      <c r="J28" s="5"/>
      <c r="K28" s="5"/>
      <c r="L28" s="5"/>
      <c r="M28" s="5"/>
      <c r="N28" s="5"/>
      <c r="O28" s="5"/>
      <c r="P28" s="5"/>
      <c r="Q28" s="5"/>
      <c r="R28" s="5"/>
      <c r="S28" s="5"/>
      <c r="T28" s="5"/>
      <c r="U28" s="5"/>
      <c r="V28" s="5"/>
      <c r="W28" s="5"/>
      <c r="X28" s="5"/>
    </row>
  </sheetData>
  <sheetProtection algorithmName="SHA-512" hashValue="T2EUig0peLS7P2fmcxGIkid0cpF3z97zbAyd7t8NkuSCzDROfAV046QfA0Ae9DiTiqX7eKuf0GLGAqEGghWy6A==" saltValue="j96rwHxdi10tRMH4lM0buQ==" spinCount="100000" sheet="1" objects="1" scenarios="1" selectLockedCells="1"/>
  <mergeCells count="5">
    <mergeCell ref="B7:M9"/>
    <mergeCell ref="B10:M12"/>
    <mergeCell ref="B13:G13"/>
    <mergeCell ref="G15:K15"/>
    <mergeCell ref="G17:K17"/>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870BC-8F55-499D-9383-4BA542C4AF29}">
  <sheetPr codeName="Sheet10">
    <tabColor rgb="FFFF0000"/>
  </sheetPr>
  <dimension ref="A1:Y40"/>
  <sheetViews>
    <sheetView workbookViewId="0">
      <selection activeCell="U25" sqref="U25"/>
    </sheetView>
  </sheetViews>
  <sheetFormatPr defaultRowHeight="18.75" x14ac:dyDescent="0.3"/>
  <cols>
    <col min="1" max="1" width="3.140625" style="99" customWidth="1"/>
    <col min="2" max="2" width="9.140625" style="101"/>
    <col min="3" max="14" width="9.140625" style="7"/>
    <col min="15" max="15" width="14.5703125" style="7" customWidth="1"/>
    <col min="16" max="16" width="9.140625" style="7"/>
    <col min="17" max="17" width="18.7109375" style="7" customWidth="1"/>
    <col min="18" max="19" width="15.28515625" style="7" customWidth="1"/>
    <col min="20" max="20" width="18.28515625" style="7" customWidth="1"/>
    <col min="21" max="21" width="17.5703125" style="7" customWidth="1"/>
    <col min="22" max="22" width="18.42578125" style="7" customWidth="1"/>
    <col min="23" max="23" width="16.5703125" style="7" customWidth="1"/>
    <col min="24" max="24" width="16.85546875" style="7" customWidth="1"/>
    <col min="25" max="25" width="18.42578125" style="7" customWidth="1"/>
    <col min="26" max="16384" width="9.140625" style="7"/>
  </cols>
  <sheetData>
    <row r="1" spans="1:25" ht="25.5" x14ac:dyDescent="0.35">
      <c r="A1" s="100" t="s">
        <v>60</v>
      </c>
      <c r="Q1" s="405" t="s">
        <v>172</v>
      </c>
      <c r="R1" s="406"/>
      <c r="S1" s="271"/>
      <c r="T1" s="402" t="s">
        <v>174</v>
      </c>
      <c r="U1" s="403"/>
      <c r="V1" s="403"/>
      <c r="W1" s="403"/>
      <c r="X1" s="404"/>
    </row>
    <row r="2" spans="1:25" x14ac:dyDescent="0.3">
      <c r="O2" s="113" t="s">
        <v>170</v>
      </c>
      <c r="P2" s="114" t="s">
        <v>171</v>
      </c>
      <c r="Q2" s="115" t="s">
        <v>189</v>
      </c>
      <c r="R2" s="114" t="s">
        <v>190</v>
      </c>
      <c r="S2" s="114" t="s">
        <v>180</v>
      </c>
      <c r="T2" s="115" t="s">
        <v>176</v>
      </c>
      <c r="U2" s="114" t="s">
        <v>177</v>
      </c>
      <c r="V2" s="114" t="s">
        <v>178</v>
      </c>
      <c r="W2" s="114" t="s">
        <v>179</v>
      </c>
      <c r="X2" s="116" t="s">
        <v>180</v>
      </c>
      <c r="Y2" s="116" t="s">
        <v>181</v>
      </c>
    </row>
    <row r="3" spans="1:25" ht="21.75" customHeight="1" x14ac:dyDescent="0.3">
      <c r="A3" s="102" t="s">
        <v>61</v>
      </c>
      <c r="O3" s="117" t="s">
        <v>73</v>
      </c>
      <c r="P3" s="105" t="s">
        <v>173</v>
      </c>
      <c r="Q3" s="139" t="s">
        <v>173</v>
      </c>
      <c r="R3" s="105" t="s">
        <v>173</v>
      </c>
      <c r="S3" s="105"/>
      <c r="T3" s="109" t="s">
        <v>173</v>
      </c>
      <c r="U3" s="106" t="s">
        <v>173</v>
      </c>
      <c r="V3" s="106" t="s">
        <v>173</v>
      </c>
      <c r="W3" s="106" t="s">
        <v>173</v>
      </c>
      <c r="X3" s="110"/>
      <c r="Y3" s="110"/>
    </row>
    <row r="4" spans="1:25" ht="21.75" customHeight="1" x14ac:dyDescent="0.3">
      <c r="B4" s="101" t="s">
        <v>62</v>
      </c>
      <c r="H4" s="7" t="s">
        <v>65</v>
      </c>
      <c r="O4" s="117" t="s">
        <v>101</v>
      </c>
      <c r="P4" s="105" t="s">
        <v>173</v>
      </c>
      <c r="Q4" s="139" t="s">
        <v>173</v>
      </c>
      <c r="R4" s="105" t="s">
        <v>173</v>
      </c>
      <c r="S4" s="105"/>
      <c r="T4" s="109" t="s">
        <v>173</v>
      </c>
      <c r="U4" s="106" t="s">
        <v>173</v>
      </c>
      <c r="V4" s="106" t="s">
        <v>173</v>
      </c>
      <c r="W4" s="106" t="s">
        <v>173</v>
      </c>
      <c r="X4" s="110"/>
      <c r="Y4" s="110"/>
    </row>
    <row r="5" spans="1:25" ht="21.75" customHeight="1" x14ac:dyDescent="0.3">
      <c r="B5" s="101" t="s">
        <v>63</v>
      </c>
      <c r="H5" s="7" t="s">
        <v>65</v>
      </c>
      <c r="O5" s="117" t="s">
        <v>102</v>
      </c>
      <c r="P5" s="105" t="s">
        <v>173</v>
      </c>
      <c r="Q5" s="139" t="s">
        <v>173</v>
      </c>
      <c r="R5" s="105" t="s">
        <v>173</v>
      </c>
      <c r="S5" s="105"/>
      <c r="T5" s="109" t="s">
        <v>173</v>
      </c>
      <c r="U5" s="106" t="s">
        <v>173</v>
      </c>
      <c r="V5" s="106" t="s">
        <v>173</v>
      </c>
      <c r="W5" s="106" t="s">
        <v>173</v>
      </c>
      <c r="X5" s="110"/>
      <c r="Y5" s="110"/>
    </row>
    <row r="6" spans="1:25" ht="21.75" customHeight="1" x14ac:dyDescent="0.3">
      <c r="B6" s="101" t="s">
        <v>70</v>
      </c>
      <c r="H6" s="7" t="s">
        <v>151</v>
      </c>
      <c r="O6" s="117" t="s">
        <v>103</v>
      </c>
      <c r="P6" s="105" t="s">
        <v>173</v>
      </c>
      <c r="Q6" s="139" t="s">
        <v>173</v>
      </c>
      <c r="R6" s="105" t="s">
        <v>173</v>
      </c>
      <c r="S6" s="105"/>
      <c r="T6" s="109" t="s">
        <v>173</v>
      </c>
      <c r="U6" s="106" t="s">
        <v>173</v>
      </c>
      <c r="V6" s="106" t="s">
        <v>173</v>
      </c>
      <c r="W6" s="106" t="s">
        <v>173</v>
      </c>
      <c r="X6" s="110"/>
      <c r="Y6" s="110"/>
    </row>
    <row r="7" spans="1:25" ht="21.75" customHeight="1" x14ac:dyDescent="0.3">
      <c r="B7" s="101" t="s">
        <v>71</v>
      </c>
      <c r="H7" s="7" t="s">
        <v>151</v>
      </c>
      <c r="O7" s="117" t="s">
        <v>104</v>
      </c>
      <c r="P7" s="105" t="s">
        <v>173</v>
      </c>
      <c r="Q7" s="139" t="s">
        <v>173</v>
      </c>
      <c r="R7" s="105" t="s">
        <v>173</v>
      </c>
      <c r="S7" s="105"/>
      <c r="T7" s="109" t="s">
        <v>173</v>
      </c>
      <c r="U7" s="106" t="s">
        <v>173</v>
      </c>
      <c r="V7" s="106" t="s">
        <v>173</v>
      </c>
      <c r="W7" s="106" t="s">
        <v>173</v>
      </c>
      <c r="X7" s="110"/>
      <c r="Y7" s="110"/>
    </row>
    <row r="8" spans="1:25" ht="21.75" customHeight="1" x14ac:dyDescent="0.3">
      <c r="O8" s="118" t="s">
        <v>105</v>
      </c>
      <c r="P8" s="107" t="s">
        <v>173</v>
      </c>
      <c r="Q8" s="140" t="s">
        <v>173</v>
      </c>
      <c r="R8" s="107" t="s">
        <v>173</v>
      </c>
      <c r="S8" s="107"/>
      <c r="T8" s="111" t="s">
        <v>173</v>
      </c>
      <c r="U8" s="108" t="s">
        <v>173</v>
      </c>
      <c r="V8" s="108" t="s">
        <v>173</v>
      </c>
      <c r="W8" s="108" t="s">
        <v>173</v>
      </c>
      <c r="X8" s="112"/>
      <c r="Y8" s="112"/>
    </row>
    <row r="9" spans="1:25" x14ac:dyDescent="0.3">
      <c r="A9" s="102" t="s">
        <v>64</v>
      </c>
      <c r="H9" s="7" t="s">
        <v>65</v>
      </c>
    </row>
    <row r="10" spans="1:25" x14ac:dyDescent="0.3">
      <c r="N10" s="7" t="s">
        <v>39</v>
      </c>
      <c r="O10" s="7" t="s">
        <v>172</v>
      </c>
    </row>
    <row r="11" spans="1:25" x14ac:dyDescent="0.3">
      <c r="A11" s="99" t="s">
        <v>66</v>
      </c>
      <c r="H11" s="7" t="s">
        <v>69</v>
      </c>
      <c r="N11" s="7" t="s">
        <v>39</v>
      </c>
    </row>
    <row r="12" spans="1:25" x14ac:dyDescent="0.3">
      <c r="N12" s="7" t="s">
        <v>39</v>
      </c>
      <c r="O12" s="99" t="s">
        <v>174</v>
      </c>
      <c r="P12" s="7" t="s">
        <v>175</v>
      </c>
    </row>
    <row r="13" spans="1:25" x14ac:dyDescent="0.3">
      <c r="A13" s="99" t="s">
        <v>67</v>
      </c>
      <c r="H13" s="7" t="s">
        <v>68</v>
      </c>
      <c r="N13" s="7" t="s">
        <v>39</v>
      </c>
      <c r="O13" s="7" t="s">
        <v>179</v>
      </c>
      <c r="P13" s="7" t="s">
        <v>185</v>
      </c>
      <c r="U13" s="7" t="s">
        <v>65</v>
      </c>
    </row>
    <row r="14" spans="1:25" x14ac:dyDescent="0.3">
      <c r="N14" s="7" t="s">
        <v>39</v>
      </c>
      <c r="P14" s="7" t="s">
        <v>183</v>
      </c>
      <c r="U14" s="7" t="s">
        <v>65</v>
      </c>
    </row>
    <row r="15" spans="1:25" x14ac:dyDescent="0.3">
      <c r="A15" s="99" t="s">
        <v>152</v>
      </c>
      <c r="N15" s="7" t="s">
        <v>39</v>
      </c>
      <c r="P15" s="7" t="s">
        <v>184</v>
      </c>
      <c r="U15" s="7" t="s">
        <v>65</v>
      </c>
    </row>
    <row r="16" spans="1:25" x14ac:dyDescent="0.3">
      <c r="B16" s="101" t="s">
        <v>153</v>
      </c>
      <c r="H16" s="7" t="s">
        <v>65</v>
      </c>
      <c r="N16" s="7" t="s">
        <v>39</v>
      </c>
      <c r="P16" s="7" t="s">
        <v>192</v>
      </c>
      <c r="U16" s="7" t="s">
        <v>173</v>
      </c>
    </row>
    <row r="17" spans="1:21" x14ac:dyDescent="0.3">
      <c r="B17" s="101" t="s">
        <v>154</v>
      </c>
      <c r="H17" s="7" t="s">
        <v>65</v>
      </c>
      <c r="N17" s="7" t="s">
        <v>39</v>
      </c>
    </row>
    <row r="18" spans="1:21" x14ac:dyDescent="0.3">
      <c r="C18" s="7" t="s">
        <v>156</v>
      </c>
      <c r="N18" s="7" t="s">
        <v>39</v>
      </c>
    </row>
    <row r="19" spans="1:21" x14ac:dyDescent="0.3">
      <c r="C19" s="103" t="s">
        <v>155</v>
      </c>
      <c r="N19" s="7" t="s">
        <v>39</v>
      </c>
      <c r="O19" s="278" t="s">
        <v>103</v>
      </c>
    </row>
    <row r="20" spans="1:21" x14ac:dyDescent="0.3">
      <c r="C20" s="103" t="s">
        <v>157</v>
      </c>
      <c r="P20" s="7" t="s">
        <v>241</v>
      </c>
      <c r="U20" s="7" t="s">
        <v>65</v>
      </c>
    </row>
    <row r="21" spans="1:21" x14ac:dyDescent="0.3">
      <c r="C21" s="103" t="s">
        <v>158</v>
      </c>
      <c r="Q21" s="7" t="s">
        <v>242</v>
      </c>
    </row>
    <row r="22" spans="1:21" x14ac:dyDescent="0.3">
      <c r="Q22" s="7" t="s">
        <v>243</v>
      </c>
    </row>
    <row r="23" spans="1:21" x14ac:dyDescent="0.3">
      <c r="A23" s="99" t="s">
        <v>159</v>
      </c>
      <c r="Q23" s="7" t="s">
        <v>244</v>
      </c>
    </row>
    <row r="24" spans="1:21" x14ac:dyDescent="0.3">
      <c r="B24" s="101" t="s">
        <v>161</v>
      </c>
      <c r="D24" s="7" t="s">
        <v>65</v>
      </c>
      <c r="P24" s="7" t="s">
        <v>245</v>
      </c>
      <c r="U24" s="7" t="s">
        <v>65</v>
      </c>
    </row>
    <row r="25" spans="1:21" x14ac:dyDescent="0.3">
      <c r="B25" s="101" t="s">
        <v>162</v>
      </c>
      <c r="D25" s="7" t="s">
        <v>65</v>
      </c>
      <c r="Q25" s="7" t="s">
        <v>246</v>
      </c>
    </row>
    <row r="26" spans="1:21" x14ac:dyDescent="0.3">
      <c r="B26" s="101" t="s">
        <v>163</v>
      </c>
      <c r="D26" s="7" t="s">
        <v>65</v>
      </c>
      <c r="Q26" s="7" t="s">
        <v>247</v>
      </c>
    </row>
    <row r="27" spans="1:21" x14ac:dyDescent="0.3">
      <c r="B27" s="101" t="s">
        <v>164</v>
      </c>
      <c r="P27" s="7" t="s">
        <v>172</v>
      </c>
    </row>
    <row r="28" spans="1:21" x14ac:dyDescent="0.3">
      <c r="B28" s="101" t="s">
        <v>165</v>
      </c>
      <c r="Q28" s="7" t="s">
        <v>247</v>
      </c>
      <c r="U28" s="7" t="s">
        <v>65</v>
      </c>
    </row>
    <row r="29" spans="1:21" x14ac:dyDescent="0.3">
      <c r="B29" s="101" t="s">
        <v>166</v>
      </c>
      <c r="Q29" s="7" t="s">
        <v>248</v>
      </c>
      <c r="U29" s="7" t="s">
        <v>65</v>
      </c>
    </row>
    <row r="30" spans="1:21" x14ac:dyDescent="0.3">
      <c r="A30" s="99" t="s">
        <v>160</v>
      </c>
    </row>
    <row r="31" spans="1:21" x14ac:dyDescent="0.3">
      <c r="B31" s="101" t="s">
        <v>161</v>
      </c>
    </row>
    <row r="32" spans="1:21" x14ac:dyDescent="0.3">
      <c r="B32" s="101" t="s">
        <v>162</v>
      </c>
    </row>
    <row r="33" spans="1:2" x14ac:dyDescent="0.3">
      <c r="B33" s="101" t="s">
        <v>163</v>
      </c>
    </row>
    <row r="34" spans="1:2" x14ac:dyDescent="0.3">
      <c r="B34" s="101" t="s">
        <v>164</v>
      </c>
    </row>
    <row r="35" spans="1:2" x14ac:dyDescent="0.3">
      <c r="B35" s="101" t="s">
        <v>165</v>
      </c>
    </row>
    <row r="36" spans="1:2" x14ac:dyDescent="0.3">
      <c r="B36" s="101" t="s">
        <v>166</v>
      </c>
    </row>
    <row r="38" spans="1:2" x14ac:dyDescent="0.3">
      <c r="A38" s="99" t="s">
        <v>167</v>
      </c>
    </row>
    <row r="40" spans="1:2" x14ac:dyDescent="0.3">
      <c r="A40" s="99" t="s">
        <v>168</v>
      </c>
    </row>
  </sheetData>
  <mergeCells count="2">
    <mergeCell ref="T1:X1"/>
    <mergeCell ref="Q1:R1"/>
  </mergeCells>
  <phoneticPr fontId="22"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D701D-C93E-4808-98E5-ED2A85F1D8C3}">
  <sheetPr codeName="Sheet9">
    <tabColor theme="1" tint="0.499984740745262"/>
  </sheetPr>
  <dimension ref="A1:AL63"/>
  <sheetViews>
    <sheetView workbookViewId="0">
      <pane xSplit="1" ySplit="3" topLeftCell="B4" activePane="bottomRight" state="frozen"/>
      <selection pane="topRight" activeCell="B1" sqref="B1"/>
      <selection pane="bottomLeft" activeCell="A4" sqref="A4"/>
      <selection pane="bottomRight" activeCell="I20" sqref="I20"/>
    </sheetView>
  </sheetViews>
  <sheetFormatPr defaultRowHeight="15" x14ac:dyDescent="0.25"/>
  <cols>
    <col min="1" max="1" width="7.7109375" customWidth="1"/>
    <col min="2" max="2" width="16.7109375" customWidth="1"/>
    <col min="3" max="3" width="10.7109375" customWidth="1"/>
    <col min="4" max="4" width="18.7109375" customWidth="1"/>
    <col min="5" max="8" width="12.7109375" customWidth="1"/>
    <col min="11" max="11" width="20.7109375" customWidth="1"/>
    <col min="12" max="13" width="17.7109375" customWidth="1"/>
    <col min="20" max="20" width="11.7109375" customWidth="1"/>
    <col min="21" max="23" width="15.7109375" customWidth="1"/>
    <col min="29" max="30" width="14.7109375" customWidth="1"/>
    <col min="31" max="31" width="25.7109375" customWidth="1"/>
  </cols>
  <sheetData>
    <row r="1" spans="1:38" ht="18.75" x14ac:dyDescent="0.3">
      <c r="B1" s="47" t="s">
        <v>73</v>
      </c>
      <c r="AL1" s="5"/>
    </row>
    <row r="2" spans="1:38" x14ac:dyDescent="0.25">
      <c r="B2">
        <v>16</v>
      </c>
      <c r="C2">
        <v>10</v>
      </c>
      <c r="D2">
        <v>18</v>
      </c>
      <c r="E2">
        <v>12</v>
      </c>
      <c r="F2">
        <v>12</v>
      </c>
      <c r="G2">
        <v>12</v>
      </c>
      <c r="H2">
        <v>12</v>
      </c>
      <c r="K2">
        <v>20</v>
      </c>
      <c r="L2">
        <v>17</v>
      </c>
      <c r="M2">
        <v>17</v>
      </c>
      <c r="T2">
        <v>11</v>
      </c>
      <c r="U2">
        <v>15</v>
      </c>
      <c r="V2">
        <v>15</v>
      </c>
      <c r="W2">
        <v>15</v>
      </c>
      <c r="AC2">
        <v>14</v>
      </c>
      <c r="AD2">
        <v>14</v>
      </c>
      <c r="AE2">
        <v>25</v>
      </c>
      <c r="AL2" s="5"/>
    </row>
    <row r="3" spans="1:38" x14ac:dyDescent="0.25">
      <c r="B3" s="50" t="s">
        <v>36</v>
      </c>
      <c r="C3" s="51"/>
      <c r="D3" s="51"/>
      <c r="E3" s="51"/>
      <c r="F3" s="51"/>
      <c r="G3" s="51"/>
      <c r="H3" s="51"/>
      <c r="I3" s="51"/>
      <c r="J3" s="51"/>
      <c r="K3" s="48" t="s">
        <v>35</v>
      </c>
      <c r="L3" s="49"/>
      <c r="M3" s="49"/>
      <c r="N3" s="49"/>
      <c r="O3" s="49"/>
      <c r="P3" s="49"/>
      <c r="Q3" s="49"/>
      <c r="R3" s="49"/>
      <c r="S3" s="49"/>
      <c r="T3" s="52" t="s">
        <v>34</v>
      </c>
      <c r="U3" s="52"/>
      <c r="V3" s="52"/>
      <c r="W3" s="52"/>
      <c r="X3" s="52"/>
      <c r="Y3" s="52"/>
      <c r="Z3" s="52"/>
      <c r="AA3" s="52"/>
      <c r="AB3" s="52"/>
      <c r="AC3" s="54" t="s">
        <v>33</v>
      </c>
      <c r="AD3" s="53"/>
      <c r="AE3" s="53"/>
      <c r="AF3" s="53"/>
      <c r="AG3" s="53"/>
      <c r="AH3" s="53"/>
      <c r="AI3" s="53"/>
      <c r="AJ3" s="53"/>
      <c r="AK3" s="53"/>
      <c r="AL3" s="5"/>
    </row>
    <row r="4" spans="1:38" ht="18.75" x14ac:dyDescent="0.3">
      <c r="A4">
        <v>18</v>
      </c>
      <c r="B4" s="408" t="s">
        <v>282</v>
      </c>
      <c r="C4" s="408"/>
      <c r="D4" s="3"/>
      <c r="E4" s="3"/>
      <c r="F4" s="3"/>
      <c r="G4" s="3"/>
      <c r="K4" s="408" t="s">
        <v>282</v>
      </c>
      <c r="L4" s="408"/>
      <c r="T4" s="408" t="s">
        <v>282</v>
      </c>
      <c r="U4" s="408"/>
      <c r="AC4" s="408" t="s">
        <v>282</v>
      </c>
      <c r="AD4" s="408"/>
      <c r="AE4" s="3"/>
      <c r="AL4" s="5"/>
    </row>
    <row r="5" spans="1:38" ht="24" customHeight="1" x14ac:dyDescent="0.35">
      <c r="A5">
        <v>24</v>
      </c>
      <c r="B5" s="409" t="s">
        <v>283</v>
      </c>
      <c r="C5" s="409"/>
      <c r="D5" s="409"/>
      <c r="E5" s="409"/>
      <c r="F5" s="409"/>
      <c r="G5" s="409"/>
      <c r="H5" s="409"/>
      <c r="K5" s="409" t="s">
        <v>284</v>
      </c>
      <c r="L5" s="409"/>
      <c r="M5" s="409"/>
      <c r="T5" s="409" t="s">
        <v>307</v>
      </c>
      <c r="U5" s="409"/>
      <c r="V5" s="409"/>
      <c r="W5" s="409"/>
      <c r="AC5" s="410" t="s">
        <v>313</v>
      </c>
      <c r="AD5" s="410"/>
      <c r="AE5" s="410"/>
      <c r="AL5" s="5"/>
    </row>
    <row r="6" spans="1:38" x14ac:dyDescent="0.25">
      <c r="B6" s="202" t="s">
        <v>304</v>
      </c>
      <c r="C6" s="204" t="s">
        <v>9</v>
      </c>
      <c r="D6" s="204" t="s">
        <v>303</v>
      </c>
      <c r="E6" s="204" t="s">
        <v>299</v>
      </c>
      <c r="F6" s="204" t="s">
        <v>300</v>
      </c>
      <c r="G6" s="204" t="s">
        <v>301</v>
      </c>
      <c r="H6" s="205" t="s">
        <v>302</v>
      </c>
      <c r="K6" s="206" t="s">
        <v>304</v>
      </c>
      <c r="L6" s="207" t="s">
        <v>305</v>
      </c>
      <c r="M6" s="208" t="s">
        <v>306</v>
      </c>
      <c r="T6" s="127" t="s">
        <v>308</v>
      </c>
      <c r="U6" s="128" t="s">
        <v>309</v>
      </c>
      <c r="V6" s="128" t="s">
        <v>310</v>
      </c>
      <c r="W6" s="129" t="s">
        <v>311</v>
      </c>
      <c r="AC6" s="210" t="s">
        <v>315</v>
      </c>
      <c r="AD6" s="211" t="s">
        <v>316</v>
      </c>
      <c r="AE6" s="212" t="s">
        <v>314</v>
      </c>
      <c r="AL6" s="5"/>
    </row>
    <row r="7" spans="1:38" x14ac:dyDescent="0.25">
      <c r="B7" s="203" t="s">
        <v>285</v>
      </c>
      <c r="C7" s="215" t="s">
        <v>292</v>
      </c>
      <c r="D7" s="215"/>
      <c r="E7" s="215">
        <v>4242</v>
      </c>
      <c r="F7" s="215">
        <v>2131</v>
      </c>
      <c r="G7" s="215">
        <v>2089</v>
      </c>
      <c r="H7" s="216">
        <v>3513</v>
      </c>
      <c r="K7" s="209" t="s">
        <v>317</v>
      </c>
      <c r="L7" s="219">
        <v>2023</v>
      </c>
      <c r="M7" s="220">
        <v>3661</v>
      </c>
      <c r="T7" s="223" t="s">
        <v>0</v>
      </c>
      <c r="U7" s="224">
        <v>16187.15</v>
      </c>
      <c r="V7" s="224">
        <v>16187.15</v>
      </c>
      <c r="W7" s="225">
        <v>16863.53</v>
      </c>
      <c r="AC7" s="213" t="s">
        <v>328</v>
      </c>
      <c r="AD7" s="229" t="s">
        <v>327</v>
      </c>
      <c r="AE7" s="230"/>
      <c r="AL7" s="5"/>
    </row>
    <row r="8" spans="1:38" x14ac:dyDescent="0.25">
      <c r="B8" s="203" t="s">
        <v>286</v>
      </c>
      <c r="C8" s="215" t="s">
        <v>293</v>
      </c>
      <c r="D8" s="215"/>
      <c r="E8" s="215">
        <v>3832</v>
      </c>
      <c r="F8" s="215">
        <v>2088</v>
      </c>
      <c r="G8" s="215">
        <v>1659</v>
      </c>
      <c r="H8" s="216">
        <v>2788</v>
      </c>
      <c r="K8" s="209" t="s">
        <v>318</v>
      </c>
      <c r="L8" s="219">
        <v>1059</v>
      </c>
      <c r="M8" s="220">
        <v>2472</v>
      </c>
      <c r="T8" s="223" t="s">
        <v>1</v>
      </c>
      <c r="U8" s="224">
        <v>17598.310000000001</v>
      </c>
      <c r="V8" s="224">
        <v>17598.310000000001</v>
      </c>
      <c r="W8" s="225">
        <v>18333.66</v>
      </c>
      <c r="AC8" s="213" t="s">
        <v>329</v>
      </c>
      <c r="AD8" s="229" t="s">
        <v>338</v>
      </c>
      <c r="AE8" s="230"/>
      <c r="AL8" s="5"/>
    </row>
    <row r="9" spans="1:38" x14ac:dyDescent="0.25">
      <c r="B9" s="203" t="s">
        <v>287</v>
      </c>
      <c r="C9" s="215" t="s">
        <v>294</v>
      </c>
      <c r="D9" s="215"/>
      <c r="E9" s="215">
        <v>3919</v>
      </c>
      <c r="F9" s="215">
        <v>3677</v>
      </c>
      <c r="G9" s="215">
        <v>2036</v>
      </c>
      <c r="H9" s="216">
        <v>2667</v>
      </c>
      <c r="K9" s="209" t="s">
        <v>319</v>
      </c>
      <c r="L9" s="219">
        <v>1067</v>
      </c>
      <c r="M9" s="220">
        <v>2593</v>
      </c>
      <c r="T9" s="223" t="s">
        <v>2</v>
      </c>
      <c r="U9" s="224">
        <v>23986.93</v>
      </c>
      <c r="V9" s="224">
        <v>23986.93</v>
      </c>
      <c r="W9" s="225">
        <v>24989.22</v>
      </c>
      <c r="AC9" s="213" t="s">
        <v>330</v>
      </c>
      <c r="AD9" s="229" t="s">
        <v>339</v>
      </c>
      <c r="AE9" s="230"/>
      <c r="AL9" s="5"/>
    </row>
    <row r="10" spans="1:38" x14ac:dyDescent="0.25">
      <c r="B10" s="203" t="s">
        <v>288</v>
      </c>
      <c r="C10" s="215" t="s">
        <v>295</v>
      </c>
      <c r="D10" s="215"/>
      <c r="E10" s="215">
        <v>3786</v>
      </c>
      <c r="F10" s="215">
        <v>3675</v>
      </c>
      <c r="G10" s="215">
        <v>1856</v>
      </c>
      <c r="H10" s="216">
        <v>2824</v>
      </c>
      <c r="K10" s="209" t="s">
        <v>320</v>
      </c>
      <c r="L10" s="219">
        <v>1232</v>
      </c>
      <c r="M10" s="220">
        <v>2600</v>
      </c>
      <c r="T10" s="223" t="s">
        <v>3</v>
      </c>
      <c r="U10" s="224">
        <v>3479.03</v>
      </c>
      <c r="V10" s="224">
        <v>3479.03</v>
      </c>
      <c r="W10" s="225">
        <v>3624.95</v>
      </c>
      <c r="AC10" s="213" t="s">
        <v>331</v>
      </c>
      <c r="AD10" s="229" t="s">
        <v>327</v>
      </c>
      <c r="AE10" s="230"/>
      <c r="AL10" s="5"/>
    </row>
    <row r="11" spans="1:38" x14ac:dyDescent="0.25">
      <c r="B11" s="203" t="s">
        <v>289</v>
      </c>
      <c r="C11" s="215" t="s">
        <v>296</v>
      </c>
      <c r="D11" s="215"/>
      <c r="E11" s="215">
        <v>3979</v>
      </c>
      <c r="F11" s="215">
        <v>3663</v>
      </c>
      <c r="G11" s="215">
        <v>2133</v>
      </c>
      <c r="H11" s="216">
        <v>3516</v>
      </c>
      <c r="K11" s="209" t="s">
        <v>321</v>
      </c>
      <c r="L11" s="219">
        <v>1453</v>
      </c>
      <c r="M11" s="220">
        <v>3302</v>
      </c>
      <c r="T11" s="223" t="s">
        <v>4</v>
      </c>
      <c r="U11" s="224">
        <v>25265.37</v>
      </c>
      <c r="V11" s="224">
        <v>25265.37</v>
      </c>
      <c r="W11" s="225">
        <v>26658.2</v>
      </c>
      <c r="AC11" s="213" t="s">
        <v>332</v>
      </c>
      <c r="AD11" s="229" t="s">
        <v>340</v>
      </c>
      <c r="AE11" s="230"/>
      <c r="AL11" s="5"/>
    </row>
    <row r="12" spans="1:38" x14ac:dyDescent="0.25">
      <c r="B12" s="203" t="s">
        <v>290</v>
      </c>
      <c r="C12" s="215" t="s">
        <v>297</v>
      </c>
      <c r="D12" s="215"/>
      <c r="E12" s="215">
        <v>3950</v>
      </c>
      <c r="F12" s="215">
        <v>3534</v>
      </c>
      <c r="G12" s="215">
        <v>1814</v>
      </c>
      <c r="H12" s="216">
        <v>3531</v>
      </c>
      <c r="K12" s="209" t="s">
        <v>322</v>
      </c>
      <c r="L12" s="219">
        <v>1572</v>
      </c>
      <c r="M12" s="220">
        <v>3405</v>
      </c>
      <c r="T12" s="226" t="s">
        <v>5</v>
      </c>
      <c r="U12" s="227">
        <v>29627.87</v>
      </c>
      <c r="V12" s="227">
        <v>29627.87</v>
      </c>
      <c r="W12" s="228">
        <v>30865.87</v>
      </c>
      <c r="AC12" s="213" t="s">
        <v>333</v>
      </c>
      <c r="AD12" s="229" t="s">
        <v>341</v>
      </c>
      <c r="AE12" s="230"/>
      <c r="AL12" s="5"/>
    </row>
    <row r="13" spans="1:38" x14ac:dyDescent="0.25">
      <c r="B13" s="137" t="s">
        <v>291</v>
      </c>
      <c r="C13" s="217" t="s">
        <v>298</v>
      </c>
      <c r="D13" s="217"/>
      <c r="E13" s="217">
        <v>3976</v>
      </c>
      <c r="F13" s="217">
        <v>3918</v>
      </c>
      <c r="G13" s="217">
        <v>1637</v>
      </c>
      <c r="H13" s="218">
        <v>3733</v>
      </c>
      <c r="K13" s="209" t="s">
        <v>323</v>
      </c>
      <c r="L13" s="219">
        <v>1724</v>
      </c>
      <c r="M13" s="220">
        <v>3591</v>
      </c>
      <c r="AC13" s="213" t="s">
        <v>334</v>
      </c>
      <c r="AD13" s="229" t="s">
        <v>339</v>
      </c>
      <c r="AE13" s="230"/>
      <c r="AL13" s="5"/>
    </row>
    <row r="14" spans="1:38" x14ac:dyDescent="0.25">
      <c r="K14" s="209" t="s">
        <v>324</v>
      </c>
      <c r="L14" s="221">
        <v>2003</v>
      </c>
      <c r="M14" s="222">
        <v>3880</v>
      </c>
      <c r="T14" s="2" t="s">
        <v>312</v>
      </c>
      <c r="U14" s="1">
        <v>44730</v>
      </c>
      <c r="AC14" s="213" t="s">
        <v>335</v>
      </c>
      <c r="AD14" s="229" t="s">
        <v>342</v>
      </c>
      <c r="AE14" s="230"/>
      <c r="AL14" s="5"/>
    </row>
    <row r="15" spans="1:38" x14ac:dyDescent="0.25">
      <c r="AC15" s="213" t="s">
        <v>336</v>
      </c>
      <c r="AD15" s="229" t="s">
        <v>338</v>
      </c>
      <c r="AE15" s="230"/>
      <c r="AL15" s="5"/>
    </row>
    <row r="16" spans="1:38" x14ac:dyDescent="0.25">
      <c r="E16" s="292"/>
      <c r="F16" s="292"/>
      <c r="G16" s="292"/>
      <c r="H16" s="292"/>
      <c r="AC16" s="214" t="s">
        <v>337</v>
      </c>
      <c r="AD16" s="231" t="s">
        <v>343</v>
      </c>
      <c r="AE16" s="230"/>
      <c r="AL16" s="5"/>
    </row>
    <row r="17" spans="2:38" x14ac:dyDescent="0.25">
      <c r="E17" s="292"/>
      <c r="F17" s="292"/>
      <c r="G17" s="292"/>
      <c r="H17" s="292"/>
      <c r="AL17" s="5"/>
    </row>
    <row r="18" spans="2:38" x14ac:dyDescent="0.25">
      <c r="E18" s="292"/>
      <c r="F18" s="292"/>
      <c r="G18" s="292"/>
      <c r="H18" s="292"/>
      <c r="AL18" s="5"/>
    </row>
    <row r="19" spans="2:38" x14ac:dyDescent="0.25">
      <c r="E19" s="292"/>
      <c r="F19" s="292"/>
      <c r="G19" s="292"/>
      <c r="H19" s="292"/>
      <c r="AL19" s="5"/>
    </row>
    <row r="20" spans="2:38" x14ac:dyDescent="0.25">
      <c r="E20" s="292"/>
      <c r="F20" s="292"/>
      <c r="G20" s="292"/>
      <c r="H20" s="292"/>
      <c r="AL20" s="5"/>
    </row>
    <row r="21" spans="2:38" x14ac:dyDescent="0.25">
      <c r="E21" s="292"/>
      <c r="F21" s="292"/>
      <c r="G21" s="292"/>
      <c r="H21" s="292"/>
      <c r="AL21" s="5"/>
    </row>
    <row r="22" spans="2:38" x14ac:dyDescent="0.25">
      <c r="E22" s="292"/>
      <c r="F22" s="292"/>
      <c r="G22" s="292"/>
      <c r="H22" s="292"/>
      <c r="AL22" s="5"/>
    </row>
    <row r="23" spans="2:38" x14ac:dyDescent="0.25">
      <c r="E23" s="292"/>
      <c r="F23" s="292"/>
      <c r="G23" s="292"/>
      <c r="H23" s="292"/>
      <c r="AL23" s="5"/>
    </row>
    <row r="24" spans="2:38" x14ac:dyDescent="0.25">
      <c r="AL24" s="5"/>
    </row>
    <row r="25" spans="2:38" x14ac:dyDescent="0.25">
      <c r="AL25" s="5"/>
    </row>
    <row r="26" spans="2:38" x14ac:dyDescent="0.25">
      <c r="T26" t="s">
        <v>108</v>
      </c>
      <c r="AL26" s="5"/>
    </row>
    <row r="27" spans="2:38" x14ac:dyDescent="0.25">
      <c r="AL27" s="5"/>
    </row>
    <row r="28" spans="2:38" x14ac:dyDescent="0.25">
      <c r="AL28" s="5"/>
    </row>
    <row r="29" spans="2:38" x14ac:dyDescent="0.25">
      <c r="AL29" s="5"/>
    </row>
    <row r="30" spans="2:38" x14ac:dyDescent="0.25">
      <c r="AL30" s="5"/>
    </row>
    <row r="31" spans="2:38" ht="15.75" thickBot="1" x14ac:dyDescent="0.3">
      <c r="AL31" s="5"/>
    </row>
    <row r="32" spans="2:38" x14ac:dyDescent="0.25">
      <c r="B32" s="56"/>
      <c r="C32" s="56"/>
      <c r="D32" s="56"/>
      <c r="E32" s="56"/>
      <c r="F32" s="56"/>
      <c r="G32" s="56"/>
      <c r="H32" s="56"/>
      <c r="I32" s="56"/>
      <c r="J32" s="56"/>
      <c r="K32" s="56"/>
      <c r="L32" s="56"/>
      <c r="M32" s="56"/>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
    </row>
    <row r="33" spans="2:38" ht="30" customHeight="1" x14ac:dyDescent="0.25">
      <c r="B33" s="407"/>
      <c r="C33" s="407"/>
      <c r="D33" s="407"/>
      <c r="E33" s="407"/>
      <c r="F33" s="407"/>
      <c r="G33" s="407"/>
      <c r="H33" s="407"/>
      <c r="I33" s="407"/>
      <c r="J33" s="407"/>
      <c r="K33" s="407"/>
      <c r="L33" s="407"/>
      <c r="M33" s="407"/>
      <c r="N33" s="407"/>
      <c r="O33" s="407"/>
      <c r="AL33" s="5"/>
    </row>
    <row r="34" spans="2:38" ht="30" customHeight="1" x14ac:dyDescent="0.25">
      <c r="AL34" s="5"/>
    </row>
    <row r="35" spans="2:38" ht="30" customHeight="1" x14ac:dyDescent="0.25">
      <c r="AL35" s="5"/>
    </row>
    <row r="36" spans="2:38" ht="30" customHeight="1" x14ac:dyDescent="0.25">
      <c r="AL36" s="5"/>
    </row>
    <row r="37" spans="2:38" ht="30" customHeight="1" x14ac:dyDescent="0.25">
      <c r="AL37" s="5"/>
    </row>
    <row r="38" spans="2:38" ht="30" customHeight="1" x14ac:dyDescent="0.25">
      <c r="AL38" s="5"/>
    </row>
    <row r="39" spans="2:38" ht="30" customHeight="1" x14ac:dyDescent="0.25">
      <c r="AL39" s="5"/>
    </row>
    <row r="40" spans="2:38" x14ac:dyDescent="0.25">
      <c r="AL40" s="5"/>
    </row>
    <row r="41" spans="2:38" x14ac:dyDescent="0.25">
      <c r="AL41" s="5"/>
    </row>
    <row r="42" spans="2:38" x14ac:dyDescent="0.25">
      <c r="AL42" s="5"/>
    </row>
    <row r="43" spans="2:38" x14ac:dyDescent="0.25">
      <c r="AL43" s="5"/>
    </row>
    <row r="44" spans="2:38" x14ac:dyDescent="0.25">
      <c r="AL44" s="5"/>
    </row>
    <row r="45" spans="2:38" x14ac:dyDescent="0.25">
      <c r="AL45" s="5"/>
    </row>
    <row r="46" spans="2:38" x14ac:dyDescent="0.25">
      <c r="AL46" s="5"/>
    </row>
    <row r="47" spans="2:38" x14ac:dyDescent="0.25">
      <c r="AL47" s="5"/>
    </row>
    <row r="48" spans="2:38" x14ac:dyDescent="0.25">
      <c r="AL48" s="5"/>
    </row>
    <row r="49" spans="38:38" x14ac:dyDescent="0.25">
      <c r="AL49" s="5"/>
    </row>
    <row r="50" spans="38:38" x14ac:dyDescent="0.25">
      <c r="AL50" s="5"/>
    </row>
    <row r="51" spans="38:38" x14ac:dyDescent="0.25">
      <c r="AL51" s="5"/>
    </row>
    <row r="52" spans="38:38" x14ac:dyDescent="0.25">
      <c r="AL52" s="5"/>
    </row>
    <row r="53" spans="38:38" x14ac:dyDescent="0.25">
      <c r="AL53" s="5"/>
    </row>
    <row r="54" spans="38:38" x14ac:dyDescent="0.25">
      <c r="AL54" s="5"/>
    </row>
    <row r="55" spans="38:38" x14ac:dyDescent="0.25">
      <c r="AL55" s="5"/>
    </row>
    <row r="56" spans="38:38" x14ac:dyDescent="0.25">
      <c r="AL56" s="5"/>
    </row>
    <row r="57" spans="38:38" x14ac:dyDescent="0.25">
      <c r="AL57" s="5"/>
    </row>
    <row r="58" spans="38:38" x14ac:dyDescent="0.25">
      <c r="AL58" s="5"/>
    </row>
    <row r="59" spans="38:38" x14ac:dyDescent="0.25">
      <c r="AL59" s="5"/>
    </row>
    <row r="60" spans="38:38" x14ac:dyDescent="0.25">
      <c r="AL60" s="5"/>
    </row>
    <row r="61" spans="38:38" x14ac:dyDescent="0.25">
      <c r="AL61" s="5"/>
    </row>
    <row r="62" spans="38:38" x14ac:dyDescent="0.25">
      <c r="AL62" s="5"/>
    </row>
    <row r="63" spans="38:38" x14ac:dyDescent="0.25">
      <c r="AL63" s="5"/>
    </row>
  </sheetData>
  <mergeCells count="9">
    <mergeCell ref="B33:O33"/>
    <mergeCell ref="T4:U4"/>
    <mergeCell ref="T5:W5"/>
    <mergeCell ref="AC4:AD4"/>
    <mergeCell ref="B4:C4"/>
    <mergeCell ref="B5:H5"/>
    <mergeCell ref="K4:L4"/>
    <mergeCell ref="K5:M5"/>
    <mergeCell ref="AC5:AE5"/>
  </mergeCells>
  <phoneticPr fontId="22"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52891-BE84-48E2-9BDE-BFB366FF35C4}">
  <sheetPr codeName="Sheet20">
    <tabColor theme="1" tint="0.499984740745262"/>
  </sheetPr>
  <dimension ref="A1:AM39"/>
  <sheetViews>
    <sheetView showGridLines="0" workbookViewId="0">
      <pane xSplit="1" ySplit="3" topLeftCell="B4" activePane="bottomRight" state="frozen"/>
      <selection pane="topRight" activeCell="B1" sqref="B1"/>
      <selection pane="bottomLeft" activeCell="A4" sqref="A4"/>
      <selection pane="bottomRight" activeCell="F20" sqref="F20"/>
    </sheetView>
  </sheetViews>
  <sheetFormatPr defaultRowHeight="15" x14ac:dyDescent="0.25"/>
  <cols>
    <col min="1" max="1" width="7.7109375" customWidth="1"/>
    <col min="2" max="2" width="12.7109375" customWidth="1"/>
    <col min="3" max="5" width="15.7109375" customWidth="1"/>
    <col min="6" max="6" width="17.7109375" customWidth="1"/>
    <col min="7" max="8" width="15.7109375" customWidth="1"/>
    <col min="11" max="11" width="12.7109375" customWidth="1"/>
    <col min="12" max="17" width="15.7109375" customWidth="1"/>
    <col min="20" max="20" width="12.7109375" customWidth="1"/>
    <col min="21" max="26" width="15.7109375" customWidth="1"/>
    <col min="29" max="30" width="13.7109375" customWidth="1"/>
    <col min="31" max="37" width="10.42578125" customWidth="1"/>
  </cols>
  <sheetData>
    <row r="1" spans="1:39" ht="18.75" x14ac:dyDescent="0.3">
      <c r="B1" s="55" t="s">
        <v>101</v>
      </c>
      <c r="C1" s="56"/>
      <c r="D1" s="56"/>
      <c r="E1" s="56"/>
      <c r="F1" s="56"/>
      <c r="G1" s="56"/>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c r="AL1" s="5"/>
      <c r="AM1" s="5"/>
    </row>
    <row r="2" spans="1:39" x14ac:dyDescent="0.25">
      <c r="B2">
        <v>12</v>
      </c>
      <c r="C2">
        <v>15</v>
      </c>
      <c r="D2">
        <v>15</v>
      </c>
      <c r="E2">
        <v>15</v>
      </c>
      <c r="F2">
        <v>17</v>
      </c>
      <c r="G2">
        <v>12</v>
      </c>
      <c r="H2">
        <v>12</v>
      </c>
      <c r="K2">
        <v>12</v>
      </c>
      <c r="L2">
        <v>15</v>
      </c>
      <c r="M2">
        <v>15</v>
      </c>
      <c r="N2">
        <v>15</v>
      </c>
      <c r="O2">
        <v>17</v>
      </c>
      <c r="P2">
        <v>12</v>
      </c>
      <c r="Q2">
        <v>12</v>
      </c>
      <c r="T2">
        <v>12</v>
      </c>
      <c r="U2">
        <v>15</v>
      </c>
      <c r="V2">
        <v>15</v>
      </c>
      <c r="W2">
        <v>15</v>
      </c>
      <c r="X2">
        <v>17</v>
      </c>
      <c r="Y2">
        <v>12</v>
      </c>
      <c r="Z2">
        <v>12</v>
      </c>
      <c r="AC2">
        <v>13</v>
      </c>
      <c r="AD2">
        <v>13</v>
      </c>
      <c r="AG2" t="s">
        <v>149</v>
      </c>
      <c r="AH2" t="s">
        <v>150</v>
      </c>
      <c r="AL2" s="5"/>
      <c r="AM2" s="5"/>
    </row>
    <row r="3" spans="1:39" x14ac:dyDescent="0.25">
      <c r="B3" s="57" t="s">
        <v>109</v>
      </c>
      <c r="C3" s="58"/>
      <c r="D3" s="58"/>
      <c r="E3" s="58"/>
      <c r="F3" s="58"/>
      <c r="G3" s="58"/>
      <c r="H3" s="58"/>
      <c r="I3" s="58"/>
      <c r="J3" s="58"/>
      <c r="K3" s="59" t="s">
        <v>110</v>
      </c>
      <c r="L3" s="60"/>
      <c r="M3" s="60"/>
      <c r="N3" s="60"/>
      <c r="O3" s="60"/>
      <c r="P3" s="60"/>
      <c r="Q3" s="60"/>
      <c r="R3" s="60"/>
      <c r="S3" s="60"/>
      <c r="T3" s="61" t="s">
        <v>111</v>
      </c>
      <c r="U3" s="62"/>
      <c r="V3" s="62"/>
      <c r="W3" s="62"/>
      <c r="X3" s="62"/>
      <c r="Y3" s="62"/>
      <c r="Z3" s="62"/>
      <c r="AA3" s="62"/>
      <c r="AB3" s="62"/>
      <c r="AC3" s="63" t="s">
        <v>112</v>
      </c>
      <c r="AD3" s="64"/>
      <c r="AE3" s="64"/>
      <c r="AF3" s="64"/>
      <c r="AG3" s="64"/>
      <c r="AH3" s="64"/>
      <c r="AI3" s="64"/>
      <c r="AJ3" s="64"/>
      <c r="AK3" s="64"/>
      <c r="AL3" s="5"/>
      <c r="AM3" s="5"/>
    </row>
    <row r="4" spans="1:39" ht="33" customHeight="1" x14ac:dyDescent="0.65">
      <c r="A4">
        <v>33</v>
      </c>
      <c r="B4" s="411" t="s">
        <v>415</v>
      </c>
      <c r="C4" s="411"/>
      <c r="D4" s="411"/>
      <c r="E4" s="37"/>
      <c r="F4" s="37"/>
      <c r="G4" s="37"/>
      <c r="H4" s="37"/>
      <c r="K4" s="412" t="s">
        <v>415</v>
      </c>
      <c r="L4" s="412"/>
      <c r="M4" s="412"/>
      <c r="T4" s="412" t="s">
        <v>415</v>
      </c>
      <c r="U4" s="412"/>
      <c r="V4" s="412"/>
      <c r="AC4" s="412" t="s">
        <v>415</v>
      </c>
      <c r="AD4" s="412"/>
      <c r="AE4" s="412"/>
      <c r="AF4" s="412"/>
      <c r="AL4" s="5"/>
      <c r="AM4" s="5"/>
    </row>
    <row r="5" spans="1:39" ht="14.45" customHeight="1" x14ac:dyDescent="0.3">
      <c r="B5" s="37"/>
      <c r="C5" s="37"/>
      <c r="D5" s="37"/>
      <c r="E5" s="37"/>
      <c r="F5" s="37"/>
      <c r="G5" s="37"/>
      <c r="H5" s="37"/>
      <c r="AL5" s="5"/>
      <c r="AM5" s="5"/>
    </row>
    <row r="6" spans="1:39" ht="19.899999999999999" customHeight="1" x14ac:dyDescent="0.35">
      <c r="A6">
        <v>20</v>
      </c>
      <c r="B6" s="38" t="s">
        <v>414</v>
      </c>
      <c r="C6" s="39">
        <f>COUNTA(P2_backup!$B$8:$B$15)</f>
        <v>8</v>
      </c>
      <c r="D6" s="37"/>
      <c r="E6" s="37"/>
      <c r="F6" s="37"/>
      <c r="G6" s="37"/>
      <c r="H6" s="37"/>
      <c r="K6" s="40" t="s">
        <v>420</v>
      </c>
      <c r="L6" s="41">
        <f>COUNTA(P2_backup!$K$8:$K$19)</f>
        <v>12</v>
      </c>
      <c r="T6" s="40" t="s">
        <v>419</v>
      </c>
      <c r="U6" s="41">
        <f>COUNTA(P2_backup!$T$8:$T$16)</f>
        <v>9</v>
      </c>
      <c r="AC6" s="65" t="s">
        <v>418</v>
      </c>
      <c r="AL6" s="5"/>
      <c r="AM6" s="5"/>
    </row>
    <row r="7" spans="1:39" ht="18" customHeight="1" x14ac:dyDescent="0.3">
      <c r="B7" s="191" t="s">
        <v>421</v>
      </c>
      <c r="C7" s="192" t="s">
        <v>422</v>
      </c>
      <c r="D7" s="192" t="s">
        <v>458</v>
      </c>
      <c r="E7" s="192" t="s">
        <v>423</v>
      </c>
      <c r="F7" s="192" t="s">
        <v>426</v>
      </c>
      <c r="G7" s="192" t="s">
        <v>424</v>
      </c>
      <c r="H7" s="193" t="s">
        <v>425</v>
      </c>
      <c r="K7" s="178" t="s">
        <v>421</v>
      </c>
      <c r="L7" s="176" t="s">
        <v>422</v>
      </c>
      <c r="M7" s="176" t="s">
        <v>458</v>
      </c>
      <c r="N7" s="176" t="s">
        <v>423</v>
      </c>
      <c r="O7" s="176" t="s">
        <v>426</v>
      </c>
      <c r="P7" s="176" t="s">
        <v>424</v>
      </c>
      <c r="Q7" s="177" t="s">
        <v>425</v>
      </c>
      <c r="T7" s="178" t="s">
        <v>421</v>
      </c>
      <c r="U7" s="176" t="s">
        <v>422</v>
      </c>
      <c r="V7" s="176" t="s">
        <v>458</v>
      </c>
      <c r="W7" s="176" t="s">
        <v>423</v>
      </c>
      <c r="X7" s="176" t="s">
        <v>426</v>
      </c>
      <c r="Y7" s="176" t="s">
        <v>424</v>
      </c>
      <c r="Z7" s="177" t="s">
        <v>425</v>
      </c>
      <c r="AC7" s="178" t="s">
        <v>416</v>
      </c>
      <c r="AD7" s="177" t="s">
        <v>417</v>
      </c>
      <c r="AL7" s="5"/>
      <c r="AM7" s="5"/>
    </row>
    <row r="8" spans="1:39" ht="18" customHeight="1" x14ac:dyDescent="0.3">
      <c r="B8" s="194" t="s">
        <v>429</v>
      </c>
      <c r="C8" s="195" t="s">
        <v>76</v>
      </c>
      <c r="D8" s="195" t="s">
        <v>465</v>
      </c>
      <c r="E8" s="196">
        <v>44224</v>
      </c>
      <c r="F8" s="195">
        <v>5</v>
      </c>
      <c r="G8" s="195" t="s">
        <v>77</v>
      </c>
      <c r="H8" s="197" t="s">
        <v>78</v>
      </c>
      <c r="K8" s="185" t="s">
        <v>437</v>
      </c>
      <c r="L8" s="186" t="s">
        <v>89</v>
      </c>
      <c r="M8" s="195" t="s">
        <v>464</v>
      </c>
      <c r="N8" s="188">
        <v>44255</v>
      </c>
      <c r="O8" s="179">
        <v>5</v>
      </c>
      <c r="P8" s="179"/>
      <c r="Q8" s="180"/>
      <c r="T8" s="185" t="s">
        <v>449</v>
      </c>
      <c r="U8" s="187">
        <v>4224</v>
      </c>
      <c r="V8" s="195" t="s">
        <v>459</v>
      </c>
      <c r="W8" s="188">
        <v>44255</v>
      </c>
      <c r="X8" s="179">
        <v>8</v>
      </c>
      <c r="Y8" s="179" t="s">
        <v>77</v>
      </c>
      <c r="Z8" s="180" t="s">
        <v>78</v>
      </c>
      <c r="AC8" s="181" t="s">
        <v>299</v>
      </c>
      <c r="AD8" s="180">
        <v>8</v>
      </c>
      <c r="AL8" s="5"/>
      <c r="AM8" s="5"/>
    </row>
    <row r="9" spans="1:39" ht="18" customHeight="1" x14ac:dyDescent="0.3">
      <c r="B9" s="194" t="s">
        <v>430</v>
      </c>
      <c r="C9" s="195" t="s">
        <v>79</v>
      </c>
      <c r="D9" s="195" t="s">
        <v>468</v>
      </c>
      <c r="E9" s="196">
        <v>44222</v>
      </c>
      <c r="F9" s="195">
        <v>6</v>
      </c>
      <c r="G9" s="195" t="s">
        <v>80</v>
      </c>
      <c r="H9" s="197" t="s">
        <v>78</v>
      </c>
      <c r="K9" s="185" t="s">
        <v>438</v>
      </c>
      <c r="L9" s="186" t="s">
        <v>90</v>
      </c>
      <c r="M9" s="195" t="s">
        <v>464</v>
      </c>
      <c r="N9" s="188">
        <v>44253</v>
      </c>
      <c r="O9" s="179">
        <v>4</v>
      </c>
      <c r="P9" s="179"/>
      <c r="Q9" s="180"/>
      <c r="T9" s="185" t="s">
        <v>450</v>
      </c>
      <c r="U9" s="187">
        <v>5417</v>
      </c>
      <c r="V9" s="195" t="s">
        <v>460</v>
      </c>
      <c r="W9" s="188">
        <v>44281</v>
      </c>
      <c r="X9" s="179">
        <v>5</v>
      </c>
      <c r="Y9" s="179" t="s">
        <v>80</v>
      </c>
      <c r="Z9" s="180" t="s">
        <v>78</v>
      </c>
      <c r="AC9" s="181" t="s">
        <v>300</v>
      </c>
      <c r="AD9" s="180">
        <v>12</v>
      </c>
      <c r="AL9" s="5"/>
      <c r="AM9" s="5"/>
    </row>
    <row r="10" spans="1:39" ht="18" customHeight="1" x14ac:dyDescent="0.3">
      <c r="B10" s="198" t="s">
        <v>431</v>
      </c>
      <c r="C10" s="199" t="s">
        <v>81</v>
      </c>
      <c r="D10" s="199" t="s">
        <v>469</v>
      </c>
      <c r="E10" s="200">
        <v>44218</v>
      </c>
      <c r="F10" s="199">
        <v>5</v>
      </c>
      <c r="G10" s="199" t="s">
        <v>82</v>
      </c>
      <c r="H10" s="201" t="s">
        <v>78</v>
      </c>
      <c r="K10" s="185" t="s">
        <v>439</v>
      </c>
      <c r="L10" s="179" t="s">
        <v>91</v>
      </c>
      <c r="M10" s="195" t="s">
        <v>461</v>
      </c>
      <c r="N10" s="188">
        <v>44249</v>
      </c>
      <c r="O10" s="179">
        <v>5</v>
      </c>
      <c r="P10" s="179"/>
      <c r="Q10" s="180"/>
      <c r="T10" s="185" t="s">
        <v>451</v>
      </c>
      <c r="U10" s="187">
        <v>1243</v>
      </c>
      <c r="V10" s="195" t="s">
        <v>460</v>
      </c>
      <c r="W10" s="188">
        <v>44218</v>
      </c>
      <c r="X10" s="179">
        <v>5</v>
      </c>
      <c r="Y10" s="179" t="s">
        <v>80</v>
      </c>
      <c r="Z10" s="180" t="s">
        <v>78</v>
      </c>
      <c r="AC10" s="182" t="s">
        <v>301</v>
      </c>
      <c r="AD10" s="183">
        <v>9</v>
      </c>
      <c r="AL10" s="5"/>
      <c r="AM10" s="5"/>
    </row>
    <row r="11" spans="1:39" ht="18" customHeight="1" x14ac:dyDescent="0.3">
      <c r="B11" s="198" t="s">
        <v>432</v>
      </c>
      <c r="C11" s="199" t="s">
        <v>83</v>
      </c>
      <c r="D11" s="199" t="s">
        <v>470</v>
      </c>
      <c r="E11" s="200">
        <v>44211</v>
      </c>
      <c r="F11" s="199">
        <v>7</v>
      </c>
      <c r="G11" s="199" t="s">
        <v>82</v>
      </c>
      <c r="H11" s="201" t="s">
        <v>78</v>
      </c>
      <c r="K11" s="185" t="s">
        <v>440</v>
      </c>
      <c r="L11" s="179" t="s">
        <v>92</v>
      </c>
      <c r="M11" s="195" t="s">
        <v>465</v>
      </c>
      <c r="N11" s="188">
        <v>44242</v>
      </c>
      <c r="O11" s="179">
        <v>8</v>
      </c>
      <c r="P11" s="179"/>
      <c r="Q11" s="180"/>
      <c r="T11" s="185" t="s">
        <v>452</v>
      </c>
      <c r="U11" s="187">
        <v>5417</v>
      </c>
      <c r="V11" s="195" t="s">
        <v>461</v>
      </c>
      <c r="W11" s="188">
        <v>44211</v>
      </c>
      <c r="X11" s="179">
        <v>7</v>
      </c>
      <c r="Y11" s="179" t="s">
        <v>82</v>
      </c>
      <c r="Z11" s="180" t="s">
        <v>78</v>
      </c>
      <c r="AL11" s="5"/>
      <c r="AM11" s="5"/>
    </row>
    <row r="12" spans="1:39" ht="18" customHeight="1" x14ac:dyDescent="0.3">
      <c r="B12" s="198" t="s">
        <v>433</v>
      </c>
      <c r="C12" s="199" t="s">
        <v>84</v>
      </c>
      <c r="D12" s="199" t="s">
        <v>471</v>
      </c>
      <c r="E12" s="200">
        <v>44209</v>
      </c>
      <c r="F12" s="199">
        <v>5</v>
      </c>
      <c r="G12" s="199" t="s">
        <v>80</v>
      </c>
      <c r="H12" s="201" t="s">
        <v>78</v>
      </c>
      <c r="K12" s="185" t="s">
        <v>441</v>
      </c>
      <c r="L12" s="179" t="s">
        <v>93</v>
      </c>
      <c r="M12" s="195" t="s">
        <v>466</v>
      </c>
      <c r="N12" s="188">
        <v>44240</v>
      </c>
      <c r="O12" s="179">
        <v>7</v>
      </c>
      <c r="P12" s="179"/>
      <c r="Q12" s="180"/>
      <c r="T12" s="185" t="s">
        <v>453</v>
      </c>
      <c r="U12" s="187">
        <v>1243</v>
      </c>
      <c r="V12" s="195" t="s">
        <v>461</v>
      </c>
      <c r="W12" s="188">
        <v>44209</v>
      </c>
      <c r="X12" s="179">
        <v>5</v>
      </c>
      <c r="Y12" s="179" t="s">
        <v>80</v>
      </c>
      <c r="Z12" s="180" t="s">
        <v>78</v>
      </c>
      <c r="AL12" s="5"/>
      <c r="AM12" s="5"/>
    </row>
    <row r="13" spans="1:39" ht="18" customHeight="1" x14ac:dyDescent="0.3">
      <c r="B13" s="198" t="s">
        <v>434</v>
      </c>
      <c r="C13" s="199" t="s">
        <v>85</v>
      </c>
      <c r="D13" s="199" t="s">
        <v>470</v>
      </c>
      <c r="E13" s="200">
        <v>44227</v>
      </c>
      <c r="F13" s="199">
        <v>6</v>
      </c>
      <c r="G13" s="199" t="s">
        <v>77</v>
      </c>
      <c r="H13" s="201" t="s">
        <v>78</v>
      </c>
      <c r="K13" s="185" t="s">
        <v>442</v>
      </c>
      <c r="L13" s="179" t="s">
        <v>94</v>
      </c>
      <c r="M13" s="195" t="s">
        <v>461</v>
      </c>
      <c r="N13" s="188">
        <v>44255</v>
      </c>
      <c r="O13" s="179">
        <v>4</v>
      </c>
      <c r="P13" s="179"/>
      <c r="Q13" s="180"/>
      <c r="T13" s="185" t="s">
        <v>454</v>
      </c>
      <c r="U13" s="187">
        <v>5634</v>
      </c>
      <c r="V13" s="195" t="s">
        <v>462</v>
      </c>
      <c r="W13" s="188">
        <v>44284</v>
      </c>
      <c r="X13" s="179">
        <v>1</v>
      </c>
      <c r="Y13" s="179" t="s">
        <v>80</v>
      </c>
      <c r="Z13" s="180" t="s">
        <v>87</v>
      </c>
      <c r="AL13" s="5"/>
      <c r="AM13" s="5"/>
    </row>
    <row r="14" spans="1:39" ht="18" customHeight="1" x14ac:dyDescent="0.3">
      <c r="B14" s="198" t="s">
        <v>435</v>
      </c>
      <c r="C14" s="199" t="s">
        <v>86</v>
      </c>
      <c r="D14" s="199" t="s">
        <v>467</v>
      </c>
      <c r="E14" s="200">
        <v>44221</v>
      </c>
      <c r="F14" s="199">
        <v>3</v>
      </c>
      <c r="G14" s="199" t="s">
        <v>77</v>
      </c>
      <c r="H14" s="201" t="s">
        <v>87</v>
      </c>
      <c r="K14" s="185" t="s">
        <v>443</v>
      </c>
      <c r="L14" s="186" t="s">
        <v>95</v>
      </c>
      <c r="M14" s="195" t="s">
        <v>460</v>
      </c>
      <c r="N14" s="188">
        <v>44240</v>
      </c>
      <c r="O14" s="179">
        <v>5</v>
      </c>
      <c r="P14" s="179"/>
      <c r="Q14" s="180"/>
      <c r="T14" s="185" t="s">
        <v>455</v>
      </c>
      <c r="U14" s="187">
        <v>5634</v>
      </c>
      <c r="V14" s="195" t="s">
        <v>463</v>
      </c>
      <c r="W14" s="188">
        <v>44227</v>
      </c>
      <c r="X14" s="179">
        <v>3</v>
      </c>
      <c r="Y14" s="179" t="s">
        <v>77</v>
      </c>
      <c r="Z14" s="180" t="s">
        <v>78</v>
      </c>
      <c r="AL14" s="5"/>
      <c r="AM14" s="5"/>
    </row>
    <row r="15" spans="1:39" ht="18" customHeight="1" x14ac:dyDescent="0.3">
      <c r="B15" s="198" t="s">
        <v>436</v>
      </c>
      <c r="C15" s="199" t="s">
        <v>88</v>
      </c>
      <c r="D15" s="199" t="s">
        <v>470</v>
      </c>
      <c r="E15" s="200">
        <v>44216</v>
      </c>
      <c r="F15" s="199">
        <v>1</v>
      </c>
      <c r="G15" s="199" t="s">
        <v>82</v>
      </c>
      <c r="H15" s="201" t="s">
        <v>87</v>
      </c>
      <c r="K15" s="256" t="s">
        <v>444</v>
      </c>
      <c r="L15" s="184" t="s">
        <v>96</v>
      </c>
      <c r="M15" s="199" t="s">
        <v>463</v>
      </c>
      <c r="N15" s="190">
        <v>44231</v>
      </c>
      <c r="O15" s="184">
        <v>2</v>
      </c>
      <c r="P15" s="184"/>
      <c r="Q15" s="183"/>
      <c r="T15" s="256" t="s">
        <v>456</v>
      </c>
      <c r="U15" s="189">
        <v>9399</v>
      </c>
      <c r="V15" s="199" t="s">
        <v>464</v>
      </c>
      <c r="W15" s="190">
        <v>44252</v>
      </c>
      <c r="X15" s="184">
        <v>3</v>
      </c>
      <c r="Y15" s="184" t="s">
        <v>77</v>
      </c>
      <c r="Z15" s="183" t="s">
        <v>87</v>
      </c>
      <c r="AL15" s="5"/>
      <c r="AM15" s="5"/>
    </row>
    <row r="16" spans="1:39" ht="18" customHeight="1" x14ac:dyDescent="0.3">
      <c r="K16" s="256" t="s">
        <v>445</v>
      </c>
      <c r="L16" s="294" t="s">
        <v>97</v>
      </c>
      <c r="M16" s="199" t="s">
        <v>464</v>
      </c>
      <c r="N16" s="190">
        <v>44234</v>
      </c>
      <c r="O16" s="184">
        <v>6</v>
      </c>
      <c r="P16" s="184"/>
      <c r="Q16" s="183"/>
      <c r="T16" s="256" t="s">
        <v>457</v>
      </c>
      <c r="U16" s="189">
        <v>9399</v>
      </c>
      <c r="V16" s="199" t="s">
        <v>461</v>
      </c>
      <c r="W16" s="190">
        <v>44247</v>
      </c>
      <c r="X16" s="184">
        <v>1</v>
      </c>
      <c r="Y16" s="184" t="s">
        <v>82</v>
      </c>
      <c r="Z16" s="183" t="s">
        <v>87</v>
      </c>
      <c r="AL16" s="5"/>
      <c r="AM16" s="5"/>
    </row>
    <row r="17" spans="2:39" ht="18" customHeight="1" x14ac:dyDescent="0.3">
      <c r="K17" s="256" t="s">
        <v>446</v>
      </c>
      <c r="L17" s="184" t="s">
        <v>98</v>
      </c>
      <c r="M17" s="199" t="s">
        <v>464</v>
      </c>
      <c r="N17" s="190">
        <v>44239</v>
      </c>
      <c r="O17" s="184">
        <v>4</v>
      </c>
      <c r="P17" s="184"/>
      <c r="Q17" s="183"/>
      <c r="AL17" s="5"/>
      <c r="AM17" s="5"/>
    </row>
    <row r="18" spans="2:39" ht="18" customHeight="1" x14ac:dyDescent="0.3">
      <c r="K18" s="256" t="s">
        <v>447</v>
      </c>
      <c r="L18" s="184" t="s">
        <v>99</v>
      </c>
      <c r="M18" s="199" t="s">
        <v>465</v>
      </c>
      <c r="N18" s="190">
        <v>44233</v>
      </c>
      <c r="O18" s="184">
        <v>5</v>
      </c>
      <c r="P18" s="184"/>
      <c r="Q18" s="183"/>
      <c r="AL18" s="5"/>
      <c r="AM18" s="5"/>
    </row>
    <row r="19" spans="2:39" ht="18" customHeight="1" x14ac:dyDescent="0.3">
      <c r="K19" s="256" t="s">
        <v>448</v>
      </c>
      <c r="L19" s="184" t="s">
        <v>100</v>
      </c>
      <c r="M19" s="199" t="s">
        <v>467</v>
      </c>
      <c r="N19" s="190">
        <v>44247</v>
      </c>
      <c r="O19" s="184">
        <v>1</v>
      </c>
      <c r="P19" s="184"/>
      <c r="Q19" s="183"/>
      <c r="AL19" s="5"/>
      <c r="AM19" s="5"/>
    </row>
    <row r="20" spans="2:39" x14ac:dyDescent="0.25">
      <c r="AL20" s="5"/>
      <c r="AM20" s="5"/>
    </row>
    <row r="21" spans="2:39" x14ac:dyDescent="0.25">
      <c r="AL21" s="5"/>
      <c r="AM21" s="5"/>
    </row>
    <row r="22" spans="2:39" x14ac:dyDescent="0.25">
      <c r="AL22" s="5"/>
      <c r="AM22" s="5"/>
    </row>
    <row r="23" spans="2:39" x14ac:dyDescent="0.25">
      <c r="AL23" s="5"/>
      <c r="AM23" s="5"/>
    </row>
    <row r="24" spans="2:39" x14ac:dyDescent="0.25">
      <c r="AL24" s="5"/>
      <c r="AM24" s="5"/>
    </row>
    <row r="25" spans="2:39" x14ac:dyDescent="0.25">
      <c r="AL25" s="5"/>
      <c r="AM25" s="5"/>
    </row>
    <row r="26" spans="2:39" x14ac:dyDescent="0.25">
      <c r="AL26" s="5"/>
      <c r="AM26" s="5"/>
    </row>
    <row r="27" spans="2:39" x14ac:dyDescent="0.25">
      <c r="AL27" s="5"/>
      <c r="AM27" s="5"/>
    </row>
    <row r="28" spans="2:39" x14ac:dyDescent="0.25">
      <c r="AL28" s="5"/>
      <c r="AM28" s="5"/>
    </row>
    <row r="29" spans="2:39" x14ac:dyDescent="0.25">
      <c r="AL29" s="5"/>
      <c r="AM29" s="5"/>
    </row>
    <row r="31" spans="2:39" ht="15.75" thickBot="1" x14ac:dyDescent="0.3"/>
    <row r="32" spans="2:39" x14ac:dyDescent="0.25">
      <c r="B32" s="56"/>
      <c r="C32" s="56"/>
      <c r="D32" s="56"/>
      <c r="E32" s="56"/>
      <c r="F32" s="56"/>
      <c r="G32" s="56"/>
      <c r="H32" s="56"/>
      <c r="I32" s="56"/>
      <c r="J32" s="56"/>
      <c r="K32" s="56"/>
      <c r="L32" s="56"/>
      <c r="M32" s="56"/>
      <c r="N32" s="56"/>
      <c r="O32" s="56"/>
      <c r="P32" s="56"/>
      <c r="Q32" s="56"/>
      <c r="R32" s="56"/>
      <c r="S32" s="56"/>
      <c r="T32" s="56"/>
    </row>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sheetData>
  <mergeCells count="4">
    <mergeCell ref="B4:D4"/>
    <mergeCell ref="K4:M4"/>
    <mergeCell ref="T4:V4"/>
    <mergeCell ref="AC4:AF4"/>
  </mergeCells>
  <phoneticPr fontId="22"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7CF00-82CD-4BFD-B838-A2B27486EAFA}">
  <sheetPr codeName="Sheet27">
    <tabColor theme="1" tint="0.499984740745262"/>
  </sheetPr>
  <dimension ref="A1:BA39"/>
  <sheetViews>
    <sheetView workbookViewId="0">
      <pane xSplit="1" ySplit="2" topLeftCell="B29" activePane="bottomRight" state="frozen"/>
      <selection activeCell="B4" sqref="B4:D4"/>
      <selection pane="topRight" activeCell="B4" sqref="B4:D4"/>
      <selection pane="bottomLeft" activeCell="B4" sqref="B4:D4"/>
      <selection pane="bottomRight" activeCell="A33" sqref="A33:O39"/>
    </sheetView>
  </sheetViews>
  <sheetFormatPr defaultRowHeight="15" x14ac:dyDescent="0.25"/>
  <cols>
    <col min="1" max="1" width="7.7109375" customWidth="1"/>
    <col min="3" max="3" width="19.7109375" customWidth="1"/>
    <col min="16" max="16" width="8.7109375" customWidth="1"/>
    <col min="17" max="17" width="20.7109375" customWidth="1"/>
    <col min="18" max="21" width="12.7109375" customWidth="1"/>
    <col min="22" max="22" width="15.7109375" customWidth="1"/>
    <col min="29" max="29" width="8.7109375" customWidth="1"/>
    <col min="30" max="30" width="20.7109375" customWidth="1"/>
    <col min="31" max="33" width="10.7109375" customWidth="1"/>
    <col min="34" max="34" width="14.7109375" customWidth="1"/>
    <col min="35" max="35" width="15.7109375" customWidth="1"/>
    <col min="36" max="36" width="9.7109375" customWidth="1"/>
    <col min="38" max="38" width="21.7109375" customWidth="1"/>
    <col min="39" max="41" width="10.7109375" customWidth="1"/>
    <col min="43" max="43" width="18.7109375" customWidth="1"/>
    <col min="44" max="44" width="10.7109375" customWidth="1"/>
    <col min="45" max="46" width="9.42578125" customWidth="1"/>
    <col min="47" max="47" width="10.7109375" customWidth="1"/>
    <col min="49" max="49" width="18.7109375" customWidth="1"/>
    <col min="50" max="50" width="10.7109375" customWidth="1"/>
    <col min="52" max="52" width="13.7109375" customWidth="1"/>
    <col min="53" max="53" width="11.7109375" customWidth="1"/>
  </cols>
  <sheetData>
    <row r="1" spans="1:53" ht="18.75" x14ac:dyDescent="0.3">
      <c r="B1" s="55" t="s">
        <v>102</v>
      </c>
      <c r="C1" s="56"/>
      <c r="D1" s="56"/>
      <c r="E1" s="56"/>
      <c r="F1" s="56"/>
      <c r="G1" s="56"/>
      <c r="H1" s="56"/>
      <c r="I1" s="56"/>
      <c r="J1" s="56"/>
    </row>
    <row r="2" spans="1:53" x14ac:dyDescent="0.25">
      <c r="B2">
        <v>8</v>
      </c>
      <c r="C2">
        <v>20</v>
      </c>
      <c r="D2">
        <v>9</v>
      </c>
      <c r="E2">
        <v>9</v>
      </c>
      <c r="F2">
        <v>9</v>
      </c>
      <c r="G2">
        <v>9</v>
      </c>
      <c r="H2">
        <v>9</v>
      </c>
      <c r="I2">
        <v>9</v>
      </c>
      <c r="J2">
        <v>9</v>
      </c>
      <c r="K2">
        <v>9</v>
      </c>
      <c r="L2">
        <v>9</v>
      </c>
      <c r="M2">
        <v>9</v>
      </c>
      <c r="N2">
        <v>9</v>
      </c>
      <c r="P2">
        <v>8</v>
      </c>
      <c r="Q2">
        <v>20</v>
      </c>
      <c r="R2">
        <v>10</v>
      </c>
      <c r="S2">
        <v>10</v>
      </c>
      <c r="T2">
        <v>10</v>
      </c>
      <c r="U2">
        <v>10</v>
      </c>
      <c r="V2">
        <v>14</v>
      </c>
      <c r="AC2">
        <v>8</v>
      </c>
      <c r="AD2">
        <v>20</v>
      </c>
      <c r="AE2">
        <v>10</v>
      </c>
      <c r="AF2">
        <v>10</v>
      </c>
      <c r="AG2">
        <v>10</v>
      </c>
      <c r="AH2">
        <v>14</v>
      </c>
      <c r="AI2">
        <v>15</v>
      </c>
      <c r="AJ2">
        <v>9</v>
      </c>
      <c r="AL2">
        <v>21</v>
      </c>
      <c r="AM2">
        <v>10</v>
      </c>
      <c r="AN2">
        <v>10</v>
      </c>
      <c r="AO2">
        <v>10</v>
      </c>
      <c r="AQ2">
        <v>18</v>
      </c>
      <c r="AR2">
        <v>10</v>
      </c>
      <c r="AU2">
        <v>13</v>
      </c>
      <c r="AV2">
        <v>11</v>
      </c>
    </row>
    <row r="3" spans="1:53" x14ac:dyDescent="0.25">
      <c r="B3" s="57" t="s">
        <v>350</v>
      </c>
      <c r="C3" s="58"/>
      <c r="D3" s="58"/>
      <c r="E3" s="58"/>
      <c r="F3" s="58"/>
      <c r="G3" s="58"/>
      <c r="H3" s="58"/>
      <c r="I3" s="58"/>
      <c r="J3" s="58"/>
      <c r="K3" s="58"/>
      <c r="L3" s="58"/>
      <c r="M3" s="58"/>
      <c r="N3" s="58"/>
      <c r="O3" s="58"/>
      <c r="P3" s="59" t="s">
        <v>349</v>
      </c>
      <c r="Q3" s="60"/>
      <c r="R3" s="60"/>
      <c r="S3" s="60"/>
      <c r="T3" s="60"/>
      <c r="U3" s="60"/>
      <c r="V3" s="60"/>
      <c r="W3" s="60"/>
      <c r="X3" s="60"/>
      <c r="Y3" s="60"/>
      <c r="Z3" s="60"/>
      <c r="AA3" s="60"/>
      <c r="AB3" s="60"/>
      <c r="AC3" s="72" t="s">
        <v>351</v>
      </c>
      <c r="AD3" s="71"/>
      <c r="AE3" s="71"/>
      <c r="AF3" s="71"/>
      <c r="AG3" s="71"/>
      <c r="AH3" s="71"/>
      <c r="AI3" s="71"/>
      <c r="AJ3" s="71"/>
      <c r="AK3" s="71"/>
      <c r="AL3" s="71"/>
      <c r="AM3" s="71"/>
      <c r="AN3" s="71"/>
      <c r="AO3" s="71"/>
      <c r="AP3" s="71"/>
      <c r="AQ3" s="64" t="s">
        <v>352</v>
      </c>
      <c r="AR3" s="76"/>
      <c r="AS3" s="76"/>
      <c r="AT3" s="76"/>
      <c r="AU3" s="76"/>
      <c r="AV3" s="76"/>
      <c r="AW3" s="76"/>
      <c r="AX3" s="76"/>
      <c r="AY3" s="76"/>
      <c r="AZ3" s="76"/>
      <c r="BA3" s="76"/>
    </row>
    <row r="4" spans="1:53" ht="25.5" x14ac:dyDescent="0.35">
      <c r="A4">
        <v>24</v>
      </c>
      <c r="B4" s="66" t="s">
        <v>353</v>
      </c>
      <c r="C4" s="67"/>
      <c r="D4" s="67"/>
      <c r="E4" s="67"/>
      <c r="F4" s="67"/>
      <c r="G4" s="67"/>
      <c r="H4" s="67"/>
      <c r="I4" s="67"/>
      <c r="J4" s="67"/>
      <c r="K4" s="67"/>
      <c r="L4" s="67"/>
      <c r="M4" s="67"/>
      <c r="N4" s="67"/>
      <c r="P4" t="s">
        <v>353</v>
      </c>
      <c r="AC4" s="66" t="s">
        <v>353</v>
      </c>
      <c r="AD4" s="67"/>
      <c r="AE4" s="67"/>
      <c r="AF4" s="67"/>
      <c r="AG4" s="67"/>
      <c r="AH4" s="67"/>
      <c r="AI4" s="67"/>
      <c r="AJ4" s="67"/>
      <c r="AQ4" s="66" t="s">
        <v>353</v>
      </c>
      <c r="AR4" s="67"/>
      <c r="AS4" s="67"/>
      <c r="AT4" s="67"/>
      <c r="AU4" s="67"/>
    </row>
    <row r="5" spans="1:53" ht="16.5" x14ac:dyDescent="0.3">
      <c r="B5" s="68" t="s">
        <v>354</v>
      </c>
      <c r="C5" s="67"/>
      <c r="D5" s="67"/>
      <c r="E5" s="67"/>
      <c r="F5" s="67"/>
      <c r="G5" s="67"/>
      <c r="H5" s="67"/>
      <c r="I5" s="67"/>
      <c r="J5" s="67"/>
      <c r="K5" s="67"/>
      <c r="L5" s="67"/>
      <c r="M5" s="67"/>
      <c r="N5" s="67"/>
      <c r="P5" t="s">
        <v>354</v>
      </c>
      <c r="AC5" s="68" t="s">
        <v>354</v>
      </c>
      <c r="AD5" s="67"/>
      <c r="AE5" s="67"/>
      <c r="AF5" s="67"/>
      <c r="AG5" s="67"/>
      <c r="AH5" s="67"/>
      <c r="AI5" s="67"/>
      <c r="AJ5" s="67"/>
      <c r="AQ5" s="68" t="s">
        <v>354</v>
      </c>
      <c r="AR5" s="67"/>
      <c r="AS5" s="67"/>
    </row>
    <row r="6" spans="1:53" ht="20.25" x14ac:dyDescent="0.3">
      <c r="A6">
        <v>20</v>
      </c>
      <c r="B6" s="149" t="s">
        <v>356</v>
      </c>
      <c r="C6" s="150" t="s">
        <v>355</v>
      </c>
      <c r="D6" s="150" t="s">
        <v>392</v>
      </c>
      <c r="E6" s="150" t="s">
        <v>393</v>
      </c>
      <c r="F6" s="150" t="s">
        <v>394</v>
      </c>
      <c r="G6" s="150" t="s">
        <v>395</v>
      </c>
      <c r="H6" s="150" t="s">
        <v>396</v>
      </c>
      <c r="I6" s="150" t="s">
        <v>397</v>
      </c>
      <c r="J6" s="150" t="s">
        <v>398</v>
      </c>
      <c r="K6" s="150" t="s">
        <v>399</v>
      </c>
      <c r="L6" s="150" t="s">
        <v>400</v>
      </c>
      <c r="M6" s="150" t="s">
        <v>401</v>
      </c>
      <c r="N6" s="151" t="s">
        <v>357</v>
      </c>
      <c r="P6" s="158" t="s">
        <v>356</v>
      </c>
      <c r="Q6" s="159" t="s">
        <v>355</v>
      </c>
      <c r="R6" s="159" t="s">
        <v>402</v>
      </c>
      <c r="S6" s="159" t="s">
        <v>403</v>
      </c>
      <c r="T6" s="159" t="s">
        <v>404</v>
      </c>
      <c r="U6" s="159" t="s">
        <v>405</v>
      </c>
      <c r="V6" s="160" t="s">
        <v>406</v>
      </c>
      <c r="AC6" s="167" t="s">
        <v>356</v>
      </c>
      <c r="AD6" s="168" t="s">
        <v>355</v>
      </c>
      <c r="AE6" s="168" t="s">
        <v>358</v>
      </c>
      <c r="AF6" s="168" t="s">
        <v>359</v>
      </c>
      <c r="AG6" s="168" t="s">
        <v>360</v>
      </c>
      <c r="AH6" s="168" t="s">
        <v>362</v>
      </c>
      <c r="AI6" s="168" t="s">
        <v>363</v>
      </c>
      <c r="AJ6" s="169" t="s">
        <v>361</v>
      </c>
      <c r="AQ6" s="413" t="s">
        <v>364</v>
      </c>
      <c r="AR6" s="413"/>
      <c r="AS6" s="67"/>
      <c r="AU6" s="97" t="s">
        <v>363</v>
      </c>
      <c r="AV6" s="97" t="s">
        <v>361</v>
      </c>
    </row>
    <row r="7" spans="1:53" ht="16.5" x14ac:dyDescent="0.3">
      <c r="B7" s="152" t="s">
        <v>380</v>
      </c>
      <c r="C7" s="153" t="s">
        <v>368</v>
      </c>
      <c r="D7" s="153">
        <v>23</v>
      </c>
      <c r="E7" s="153">
        <v>22</v>
      </c>
      <c r="F7" s="153">
        <v>21</v>
      </c>
      <c r="G7" s="153">
        <v>24</v>
      </c>
      <c r="H7" s="153">
        <v>22</v>
      </c>
      <c r="I7" s="153">
        <v>14</v>
      </c>
      <c r="J7" s="153">
        <v>20</v>
      </c>
      <c r="K7" s="153">
        <v>14</v>
      </c>
      <c r="L7" s="153">
        <v>24</v>
      </c>
      <c r="M7" s="153">
        <v>25</v>
      </c>
      <c r="N7" s="154">
        <f>SUM(P3_backup!$D7:$M7)</f>
        <v>209</v>
      </c>
      <c r="P7" s="161" t="s">
        <v>380</v>
      </c>
      <c r="Q7" s="162" t="s">
        <v>368</v>
      </c>
      <c r="R7" s="162">
        <v>60</v>
      </c>
      <c r="S7" s="162">
        <v>100</v>
      </c>
      <c r="T7" s="162">
        <v>90</v>
      </c>
      <c r="U7" s="162">
        <v>140</v>
      </c>
      <c r="V7" s="163">
        <v>390</v>
      </c>
      <c r="AC7" s="170" t="s">
        <v>380</v>
      </c>
      <c r="AD7" s="171" t="s">
        <v>368</v>
      </c>
      <c r="AE7" s="171">
        <v>100</v>
      </c>
      <c r="AF7" s="171">
        <v>98</v>
      </c>
      <c r="AG7" s="171">
        <v>80</v>
      </c>
      <c r="AH7" s="171">
        <v>278</v>
      </c>
      <c r="AI7" s="171">
        <v>877</v>
      </c>
      <c r="AJ7" s="172" t="s">
        <v>117</v>
      </c>
      <c r="AQ7" s="74" t="s">
        <v>350</v>
      </c>
      <c r="AR7" s="69"/>
      <c r="AS7" s="67"/>
      <c r="AU7" s="75">
        <v>0</v>
      </c>
      <c r="AV7" s="75" t="s">
        <v>121</v>
      </c>
    </row>
    <row r="8" spans="1:53" ht="16.5" x14ac:dyDescent="0.3">
      <c r="B8" s="152" t="s">
        <v>381</v>
      </c>
      <c r="C8" s="153" t="s">
        <v>369</v>
      </c>
      <c r="D8" s="153">
        <v>6</v>
      </c>
      <c r="E8" s="153">
        <v>23</v>
      </c>
      <c r="F8" s="153">
        <v>5</v>
      </c>
      <c r="G8" s="153">
        <v>24</v>
      </c>
      <c r="H8" s="153">
        <v>4</v>
      </c>
      <c r="I8" s="153">
        <v>23</v>
      </c>
      <c r="J8" s="153">
        <v>6</v>
      </c>
      <c r="K8" s="153">
        <v>13</v>
      </c>
      <c r="L8" s="153">
        <v>24</v>
      </c>
      <c r="M8" s="153">
        <v>12</v>
      </c>
      <c r="N8" s="154">
        <f>SUM(P3_backup!$D8:$M8)</f>
        <v>140</v>
      </c>
      <c r="P8" s="164" t="s">
        <v>381</v>
      </c>
      <c r="Q8" s="165" t="s">
        <v>369</v>
      </c>
      <c r="R8" s="165">
        <v>64</v>
      </c>
      <c r="S8" s="165">
        <v>100</v>
      </c>
      <c r="T8" s="165">
        <v>85</v>
      </c>
      <c r="U8" s="165">
        <v>100</v>
      </c>
      <c r="V8" s="166">
        <v>349</v>
      </c>
      <c r="AC8" s="170" t="s">
        <v>381</v>
      </c>
      <c r="AD8" s="171" t="s">
        <v>369</v>
      </c>
      <c r="AE8" s="171">
        <v>54</v>
      </c>
      <c r="AF8" s="171">
        <v>21</v>
      </c>
      <c r="AG8" s="171">
        <v>70</v>
      </c>
      <c r="AH8" s="171">
        <v>145</v>
      </c>
      <c r="AI8" s="171">
        <v>634</v>
      </c>
      <c r="AJ8" s="172" t="s">
        <v>118</v>
      </c>
      <c r="AQ8" s="67" t="s">
        <v>126</v>
      </c>
      <c r="AR8" s="67">
        <v>25</v>
      </c>
      <c r="AS8" s="67"/>
      <c r="AU8" s="75">
        <v>600</v>
      </c>
      <c r="AV8" s="75" t="s">
        <v>118</v>
      </c>
    </row>
    <row r="9" spans="1:53" ht="16.5" x14ac:dyDescent="0.3">
      <c r="B9" s="152" t="s">
        <v>382</v>
      </c>
      <c r="C9" s="153" t="s">
        <v>370</v>
      </c>
      <c r="D9" s="153">
        <v>25</v>
      </c>
      <c r="E9" s="153">
        <v>23</v>
      </c>
      <c r="F9" s="153">
        <v>24</v>
      </c>
      <c r="G9" s="153">
        <v>25</v>
      </c>
      <c r="H9" s="153">
        <v>19</v>
      </c>
      <c r="I9" s="153">
        <v>19</v>
      </c>
      <c r="J9" s="153">
        <v>20</v>
      </c>
      <c r="K9" s="153">
        <v>13</v>
      </c>
      <c r="L9" s="153">
        <v>20</v>
      </c>
      <c r="M9" s="153">
        <v>13</v>
      </c>
      <c r="N9" s="154">
        <f>SUM(P3_backup!$D9:$M9)</f>
        <v>201</v>
      </c>
      <c r="P9" s="161" t="s">
        <v>382</v>
      </c>
      <c r="Q9" s="162" t="s">
        <v>370</v>
      </c>
      <c r="R9" s="162">
        <v>70</v>
      </c>
      <c r="S9" s="162">
        <v>90</v>
      </c>
      <c r="T9" s="162">
        <v>100</v>
      </c>
      <c r="U9" s="162">
        <v>140</v>
      </c>
      <c r="V9" s="163">
        <v>400</v>
      </c>
      <c r="AC9" s="170" t="s">
        <v>382</v>
      </c>
      <c r="AD9" s="171" t="s">
        <v>370</v>
      </c>
      <c r="AE9" s="171">
        <v>100</v>
      </c>
      <c r="AF9" s="171">
        <v>100</v>
      </c>
      <c r="AG9" s="171">
        <v>100</v>
      </c>
      <c r="AH9" s="171">
        <v>300</v>
      </c>
      <c r="AI9" s="171">
        <v>901</v>
      </c>
      <c r="AJ9" s="172" t="s">
        <v>119</v>
      </c>
      <c r="AQ9" s="67" t="s">
        <v>127</v>
      </c>
      <c r="AR9" s="67">
        <v>25</v>
      </c>
      <c r="AS9" s="67"/>
      <c r="AU9" s="75">
        <v>640</v>
      </c>
      <c r="AV9" s="75" t="s">
        <v>118</v>
      </c>
    </row>
    <row r="10" spans="1:53" ht="16.5" x14ac:dyDescent="0.3">
      <c r="B10" s="152" t="s">
        <v>383</v>
      </c>
      <c r="C10" s="153" t="s">
        <v>371</v>
      </c>
      <c r="D10" s="153">
        <v>22</v>
      </c>
      <c r="E10" s="153">
        <v>4</v>
      </c>
      <c r="F10" s="153">
        <v>18</v>
      </c>
      <c r="G10" s="153">
        <v>23</v>
      </c>
      <c r="H10" s="153">
        <v>20</v>
      </c>
      <c r="I10" s="153">
        <v>25</v>
      </c>
      <c r="J10" s="153">
        <v>24</v>
      </c>
      <c r="K10" s="153">
        <v>23</v>
      </c>
      <c r="L10" s="153">
        <v>25</v>
      </c>
      <c r="M10" s="153">
        <v>24</v>
      </c>
      <c r="N10" s="154">
        <f>SUM(P3_backup!$D10:$M10)</f>
        <v>208</v>
      </c>
      <c r="P10" s="164" t="s">
        <v>383</v>
      </c>
      <c r="Q10" s="165" t="s">
        <v>371</v>
      </c>
      <c r="R10" s="165">
        <v>75</v>
      </c>
      <c r="S10" s="165">
        <v>114</v>
      </c>
      <c r="T10" s="165">
        <v>72</v>
      </c>
      <c r="U10" s="165">
        <v>136</v>
      </c>
      <c r="V10" s="166">
        <v>397</v>
      </c>
      <c r="AC10" s="170" t="s">
        <v>383</v>
      </c>
      <c r="AD10" s="171" t="s">
        <v>371</v>
      </c>
      <c r="AE10" s="171">
        <v>6</v>
      </c>
      <c r="AF10" s="171">
        <v>90</v>
      </c>
      <c r="AG10" s="171">
        <v>68</v>
      </c>
      <c r="AH10" s="171">
        <v>164</v>
      </c>
      <c r="AI10" s="171">
        <v>769</v>
      </c>
      <c r="AJ10" s="172" t="s">
        <v>120</v>
      </c>
      <c r="AQ10" s="67" t="s">
        <v>128</v>
      </c>
      <c r="AR10" s="67">
        <v>25</v>
      </c>
      <c r="AS10" s="67"/>
      <c r="AU10" s="75">
        <v>670</v>
      </c>
      <c r="AV10" s="75" t="s">
        <v>122</v>
      </c>
    </row>
    <row r="11" spans="1:53" ht="16.5" x14ac:dyDescent="0.3">
      <c r="B11" s="152" t="s">
        <v>384</v>
      </c>
      <c r="C11" s="153" t="s">
        <v>372</v>
      </c>
      <c r="D11" s="153">
        <v>12</v>
      </c>
      <c r="E11" s="153">
        <v>25</v>
      </c>
      <c r="F11" s="153">
        <v>22</v>
      </c>
      <c r="G11" s="153">
        <v>23</v>
      </c>
      <c r="H11" s="153">
        <v>1</v>
      </c>
      <c r="I11" s="153">
        <v>6</v>
      </c>
      <c r="J11" s="153">
        <v>9</v>
      </c>
      <c r="K11" s="153">
        <v>2</v>
      </c>
      <c r="L11" s="153">
        <v>4</v>
      </c>
      <c r="M11" s="153">
        <v>7</v>
      </c>
      <c r="N11" s="154">
        <f>SUM(P3_backup!$D11:$M11)</f>
        <v>111</v>
      </c>
      <c r="P11" s="161" t="s">
        <v>384</v>
      </c>
      <c r="Q11" s="162" t="s">
        <v>372</v>
      </c>
      <c r="R11" s="162">
        <v>75</v>
      </c>
      <c r="S11" s="162">
        <v>92</v>
      </c>
      <c r="T11" s="162">
        <v>61</v>
      </c>
      <c r="U11" s="162">
        <v>144</v>
      </c>
      <c r="V11" s="163">
        <v>372</v>
      </c>
      <c r="AC11" s="170" t="s">
        <v>384</v>
      </c>
      <c r="AD11" s="171" t="s">
        <v>372</v>
      </c>
      <c r="AE11" s="171"/>
      <c r="AF11" s="171">
        <v>100</v>
      </c>
      <c r="AG11" s="171"/>
      <c r="AH11" s="171">
        <v>100</v>
      </c>
      <c r="AI11" s="171">
        <v>583</v>
      </c>
      <c r="AJ11" s="172" t="s">
        <v>121</v>
      </c>
      <c r="AQ11" s="67" t="s">
        <v>129</v>
      </c>
      <c r="AR11" s="67">
        <v>25</v>
      </c>
      <c r="AS11" s="67"/>
      <c r="AU11" s="75">
        <v>700</v>
      </c>
      <c r="AV11" s="75" t="s">
        <v>123</v>
      </c>
    </row>
    <row r="12" spans="1:53" ht="16.5" x14ac:dyDescent="0.3">
      <c r="B12" s="152" t="s">
        <v>385</v>
      </c>
      <c r="C12" s="153" t="s">
        <v>373</v>
      </c>
      <c r="D12" s="153">
        <v>4</v>
      </c>
      <c r="E12" s="153">
        <v>12</v>
      </c>
      <c r="F12" s="153">
        <v>24</v>
      </c>
      <c r="G12" s="153">
        <v>9</v>
      </c>
      <c r="H12" s="153">
        <v>21</v>
      </c>
      <c r="I12" s="153">
        <v>7</v>
      </c>
      <c r="J12" s="153">
        <v>9</v>
      </c>
      <c r="K12" s="153">
        <v>2</v>
      </c>
      <c r="L12" s="153">
        <v>3</v>
      </c>
      <c r="M12" s="153">
        <v>3</v>
      </c>
      <c r="N12" s="154">
        <f>SUM(P3_backup!$D12:$M12)</f>
        <v>94</v>
      </c>
      <c r="P12" s="164" t="s">
        <v>385</v>
      </c>
      <c r="Q12" s="165" t="s">
        <v>373</v>
      </c>
      <c r="R12" s="165">
        <v>9</v>
      </c>
      <c r="S12" s="165">
        <v>125</v>
      </c>
      <c r="T12" s="165">
        <v>54</v>
      </c>
      <c r="U12" s="165">
        <v>137</v>
      </c>
      <c r="V12" s="166">
        <v>325</v>
      </c>
      <c r="AC12" s="170" t="s">
        <v>385</v>
      </c>
      <c r="AD12" s="171" t="s">
        <v>373</v>
      </c>
      <c r="AE12" s="171">
        <v>56</v>
      </c>
      <c r="AF12" s="171">
        <v>15</v>
      </c>
      <c r="AG12" s="171">
        <v>59</v>
      </c>
      <c r="AH12" s="171">
        <v>130</v>
      </c>
      <c r="AI12" s="171">
        <v>549</v>
      </c>
      <c r="AJ12" s="172" t="s">
        <v>121</v>
      </c>
      <c r="AQ12" s="67" t="s">
        <v>130</v>
      </c>
      <c r="AR12" s="67">
        <v>25</v>
      </c>
      <c r="AS12" s="67"/>
      <c r="AU12" s="75">
        <v>740</v>
      </c>
      <c r="AV12" s="75" t="s">
        <v>120</v>
      </c>
    </row>
    <row r="13" spans="1:53" ht="16.5" x14ac:dyDescent="0.3">
      <c r="B13" s="152" t="s">
        <v>386</v>
      </c>
      <c r="C13" s="153" t="s">
        <v>374</v>
      </c>
      <c r="D13" s="153">
        <v>12</v>
      </c>
      <c r="E13" s="153">
        <v>8</v>
      </c>
      <c r="F13" s="153">
        <v>3</v>
      </c>
      <c r="G13" s="153">
        <v>10</v>
      </c>
      <c r="H13" s="153">
        <v>23</v>
      </c>
      <c r="I13" s="153">
        <v>23</v>
      </c>
      <c r="J13" s="153">
        <v>3</v>
      </c>
      <c r="K13" s="153">
        <v>11</v>
      </c>
      <c r="L13" s="153">
        <v>20</v>
      </c>
      <c r="M13" s="153">
        <v>6</v>
      </c>
      <c r="N13" s="154">
        <f>SUM(P3_backup!$D13:$M13)</f>
        <v>119</v>
      </c>
      <c r="P13" s="161" t="s">
        <v>386</v>
      </c>
      <c r="Q13" s="162" t="s">
        <v>374</v>
      </c>
      <c r="R13" s="162">
        <v>37</v>
      </c>
      <c r="S13" s="162">
        <v>93</v>
      </c>
      <c r="T13" s="162">
        <v>100</v>
      </c>
      <c r="U13" s="162">
        <v>114</v>
      </c>
      <c r="V13" s="163">
        <v>344</v>
      </c>
      <c r="AC13" s="170" t="s">
        <v>386</v>
      </c>
      <c r="AD13" s="171" t="s">
        <v>374</v>
      </c>
      <c r="AE13" s="171">
        <v>15</v>
      </c>
      <c r="AF13" s="171">
        <v>95</v>
      </c>
      <c r="AG13" s="171">
        <v>65</v>
      </c>
      <c r="AH13" s="171">
        <v>175</v>
      </c>
      <c r="AI13" s="171">
        <v>638</v>
      </c>
      <c r="AJ13" s="172" t="s">
        <v>118</v>
      </c>
      <c r="AQ13" s="67" t="s">
        <v>131</v>
      </c>
      <c r="AR13" s="67">
        <v>25</v>
      </c>
      <c r="AS13" s="67"/>
      <c r="AU13" s="75">
        <v>770</v>
      </c>
      <c r="AV13" s="75" t="s">
        <v>133</v>
      </c>
    </row>
    <row r="14" spans="1:53" ht="16.5" x14ac:dyDescent="0.3">
      <c r="B14" s="152" t="s">
        <v>387</v>
      </c>
      <c r="C14" s="153" t="s">
        <v>375</v>
      </c>
      <c r="D14" s="153">
        <v>1</v>
      </c>
      <c r="E14" s="153">
        <v>4</v>
      </c>
      <c r="F14" s="153">
        <v>9</v>
      </c>
      <c r="G14" s="153">
        <v>15</v>
      </c>
      <c r="H14" s="153">
        <v>4</v>
      </c>
      <c r="I14" s="153">
        <v>3</v>
      </c>
      <c r="J14" s="153">
        <v>12</v>
      </c>
      <c r="K14" s="153">
        <v>12</v>
      </c>
      <c r="L14" s="153">
        <v>24</v>
      </c>
      <c r="M14" s="153">
        <v>25</v>
      </c>
      <c r="N14" s="154">
        <f>SUM(P3_backup!$D14:$M14)</f>
        <v>109</v>
      </c>
      <c r="P14" s="164" t="s">
        <v>387</v>
      </c>
      <c r="Q14" s="165" t="s">
        <v>375</v>
      </c>
      <c r="R14" s="165">
        <v>12</v>
      </c>
      <c r="S14" s="165">
        <v>112</v>
      </c>
      <c r="T14" s="165">
        <v>65</v>
      </c>
      <c r="U14" s="165">
        <v>150</v>
      </c>
      <c r="V14" s="166">
        <v>339</v>
      </c>
      <c r="AC14" s="170" t="s">
        <v>387</v>
      </c>
      <c r="AD14" s="171" t="s">
        <v>375</v>
      </c>
      <c r="AE14" s="171"/>
      <c r="AF14" s="171">
        <v>58</v>
      </c>
      <c r="AG14" s="171"/>
      <c r="AH14" s="171">
        <v>58</v>
      </c>
      <c r="AI14" s="171">
        <v>506</v>
      </c>
      <c r="AJ14" s="172" t="s">
        <v>121</v>
      </c>
      <c r="AQ14" s="67" t="s">
        <v>132</v>
      </c>
      <c r="AR14" s="67">
        <v>25</v>
      </c>
      <c r="AS14" s="67"/>
      <c r="AU14" s="75">
        <v>800</v>
      </c>
      <c r="AV14" s="75" t="s">
        <v>135</v>
      </c>
    </row>
    <row r="15" spans="1:53" ht="16.5" x14ac:dyDescent="0.3">
      <c r="B15" s="152" t="s">
        <v>388</v>
      </c>
      <c r="C15" s="153" t="s">
        <v>376</v>
      </c>
      <c r="D15" s="153">
        <v>12</v>
      </c>
      <c r="E15" s="153">
        <v>13</v>
      </c>
      <c r="F15" s="153">
        <v>21</v>
      </c>
      <c r="G15" s="153">
        <v>17</v>
      </c>
      <c r="H15" s="153">
        <v>25</v>
      </c>
      <c r="I15" s="153">
        <v>9</v>
      </c>
      <c r="J15" s="153">
        <v>4</v>
      </c>
      <c r="K15" s="153">
        <v>17</v>
      </c>
      <c r="L15" s="153">
        <v>20</v>
      </c>
      <c r="M15" s="153">
        <v>3</v>
      </c>
      <c r="N15" s="154">
        <f>SUM(P3_backup!$D15:$M15)</f>
        <v>141</v>
      </c>
      <c r="P15" s="161" t="s">
        <v>388</v>
      </c>
      <c r="Q15" s="162" t="s">
        <v>376</v>
      </c>
      <c r="R15" s="162">
        <v>5</v>
      </c>
      <c r="S15" s="162">
        <v>114</v>
      </c>
      <c r="T15" s="162">
        <v>64</v>
      </c>
      <c r="U15" s="162">
        <v>128</v>
      </c>
      <c r="V15" s="163">
        <v>311</v>
      </c>
      <c r="AC15" s="170" t="s">
        <v>388</v>
      </c>
      <c r="AD15" s="171" t="s">
        <v>376</v>
      </c>
      <c r="AE15" s="171">
        <v>81</v>
      </c>
      <c r="AF15" s="171"/>
      <c r="AG15" s="171">
        <v>95</v>
      </c>
      <c r="AH15" s="171">
        <v>176</v>
      </c>
      <c r="AI15" s="171">
        <v>628</v>
      </c>
      <c r="AJ15" s="172" t="s">
        <v>118</v>
      </c>
      <c r="AQ15" s="67" t="s">
        <v>134</v>
      </c>
      <c r="AR15" s="67">
        <v>25</v>
      </c>
      <c r="AS15" s="67"/>
      <c r="AU15" s="75">
        <v>840</v>
      </c>
      <c r="AV15" s="75" t="s">
        <v>137</v>
      </c>
    </row>
    <row r="16" spans="1:53" ht="16.5" x14ac:dyDescent="0.3">
      <c r="B16" s="152" t="s">
        <v>389</v>
      </c>
      <c r="C16" s="153" t="s">
        <v>377</v>
      </c>
      <c r="D16" s="153">
        <v>6</v>
      </c>
      <c r="E16" s="153">
        <v>17</v>
      </c>
      <c r="F16" s="153">
        <v>16</v>
      </c>
      <c r="G16" s="153">
        <v>17</v>
      </c>
      <c r="H16" s="153">
        <v>3</v>
      </c>
      <c r="I16" s="153">
        <v>14</v>
      </c>
      <c r="J16" s="153">
        <v>1</v>
      </c>
      <c r="K16" s="153">
        <v>22</v>
      </c>
      <c r="L16" s="153">
        <v>20</v>
      </c>
      <c r="M16" s="153">
        <v>9</v>
      </c>
      <c r="N16" s="154">
        <f>SUM(P3_backup!$D16:$M16)</f>
        <v>125</v>
      </c>
      <c r="P16" s="164" t="s">
        <v>389</v>
      </c>
      <c r="Q16" s="165" t="s">
        <v>377</v>
      </c>
      <c r="R16" s="165">
        <v>39</v>
      </c>
      <c r="S16" s="165">
        <v>81</v>
      </c>
      <c r="T16" s="165">
        <v>80</v>
      </c>
      <c r="U16" s="165">
        <v>149</v>
      </c>
      <c r="V16" s="166">
        <v>349</v>
      </c>
      <c r="AC16" s="170" t="s">
        <v>389</v>
      </c>
      <c r="AD16" s="171" t="s">
        <v>377</v>
      </c>
      <c r="AE16" s="171">
        <v>16</v>
      </c>
      <c r="AF16" s="171">
        <v>100</v>
      </c>
      <c r="AG16" s="171">
        <v>11</v>
      </c>
      <c r="AH16" s="171">
        <v>127</v>
      </c>
      <c r="AI16" s="171">
        <v>601</v>
      </c>
      <c r="AJ16" s="172" t="s">
        <v>118</v>
      </c>
      <c r="AQ16" s="67" t="s">
        <v>136</v>
      </c>
      <c r="AR16" s="67">
        <v>25</v>
      </c>
      <c r="AS16" s="67"/>
      <c r="AU16" s="75">
        <v>870</v>
      </c>
      <c r="AV16" s="75" t="s">
        <v>117</v>
      </c>
    </row>
    <row r="17" spans="2:48" ht="16.5" x14ac:dyDescent="0.3">
      <c r="B17" s="152" t="s">
        <v>390</v>
      </c>
      <c r="C17" s="153" t="s">
        <v>378</v>
      </c>
      <c r="D17" s="153">
        <v>18</v>
      </c>
      <c r="E17" s="153">
        <v>21</v>
      </c>
      <c r="F17" s="153">
        <v>22</v>
      </c>
      <c r="G17" s="153">
        <v>5</v>
      </c>
      <c r="H17" s="153">
        <v>12</v>
      </c>
      <c r="I17" s="153">
        <v>13</v>
      </c>
      <c r="J17" s="153">
        <v>21</v>
      </c>
      <c r="K17" s="153">
        <v>15</v>
      </c>
      <c r="L17" s="153">
        <v>8</v>
      </c>
      <c r="M17" s="153">
        <v>19</v>
      </c>
      <c r="N17" s="154">
        <f>SUM(P3_backup!$D17:$M17)</f>
        <v>154</v>
      </c>
      <c r="P17" s="161" t="s">
        <v>390</v>
      </c>
      <c r="Q17" s="162" t="s">
        <v>378</v>
      </c>
      <c r="R17" s="162">
        <v>67</v>
      </c>
      <c r="S17" s="162">
        <v>93</v>
      </c>
      <c r="T17" s="162">
        <v>69</v>
      </c>
      <c r="U17" s="162">
        <v>137</v>
      </c>
      <c r="V17" s="163">
        <v>366</v>
      </c>
      <c r="AC17" s="170" t="s">
        <v>390</v>
      </c>
      <c r="AD17" s="171" t="s">
        <v>378</v>
      </c>
      <c r="AE17" s="171">
        <v>95</v>
      </c>
      <c r="AF17" s="171">
        <v>74</v>
      </c>
      <c r="AG17" s="171"/>
      <c r="AH17" s="171">
        <v>169</v>
      </c>
      <c r="AI17" s="171">
        <v>689</v>
      </c>
      <c r="AJ17" s="172" t="s">
        <v>122</v>
      </c>
      <c r="AQ17" s="67" t="s">
        <v>138</v>
      </c>
      <c r="AR17" s="67">
        <v>25</v>
      </c>
      <c r="AS17" s="67"/>
      <c r="AU17" s="75">
        <v>900</v>
      </c>
      <c r="AV17" s="75" t="s">
        <v>119</v>
      </c>
    </row>
    <row r="18" spans="2:48" ht="17.25" thickBot="1" x14ac:dyDescent="0.35">
      <c r="B18" s="155" t="s">
        <v>391</v>
      </c>
      <c r="C18" s="156" t="s">
        <v>379</v>
      </c>
      <c r="D18" s="156">
        <v>8</v>
      </c>
      <c r="E18" s="156">
        <v>12</v>
      </c>
      <c r="F18" s="156">
        <v>25</v>
      </c>
      <c r="G18" s="156">
        <v>16</v>
      </c>
      <c r="H18" s="156">
        <v>22</v>
      </c>
      <c r="I18" s="156">
        <v>20</v>
      </c>
      <c r="J18" s="156">
        <v>24</v>
      </c>
      <c r="K18" s="156">
        <v>14</v>
      </c>
      <c r="L18" s="156">
        <v>22</v>
      </c>
      <c r="M18" s="156">
        <v>6</v>
      </c>
      <c r="N18" s="157">
        <f>SUM(P3_backup!$D18:$M18)</f>
        <v>169</v>
      </c>
      <c r="P18" s="134" t="s">
        <v>391</v>
      </c>
      <c r="Q18" s="135" t="s">
        <v>379</v>
      </c>
      <c r="R18" s="135">
        <v>24</v>
      </c>
      <c r="S18" s="135">
        <v>78</v>
      </c>
      <c r="T18" s="135">
        <v>98</v>
      </c>
      <c r="U18" s="135">
        <v>134</v>
      </c>
      <c r="V18" s="136">
        <v>334</v>
      </c>
      <c r="AC18" s="173" t="s">
        <v>391</v>
      </c>
      <c r="AD18" s="174" t="s">
        <v>379</v>
      </c>
      <c r="AE18" s="174">
        <v>90</v>
      </c>
      <c r="AF18" s="174">
        <v>38</v>
      </c>
      <c r="AG18" s="174">
        <v>100</v>
      </c>
      <c r="AH18" s="174">
        <v>228</v>
      </c>
      <c r="AI18" s="174">
        <v>731</v>
      </c>
      <c r="AJ18" s="175" t="s">
        <v>123</v>
      </c>
      <c r="AQ18" s="95" t="s">
        <v>365</v>
      </c>
      <c r="AR18" s="96">
        <f>SUM(AR8:AR17)</f>
        <v>250</v>
      </c>
      <c r="AS18" s="67"/>
      <c r="AU18" s="75">
        <v>950</v>
      </c>
      <c r="AV18" s="75" t="s">
        <v>58</v>
      </c>
    </row>
    <row r="19" spans="2:48" ht="17.25" thickTop="1" x14ac:dyDescent="0.3">
      <c r="AC19" s="67"/>
      <c r="AD19" s="67"/>
      <c r="AE19" s="67"/>
      <c r="AF19" s="67"/>
      <c r="AG19" s="67"/>
      <c r="AH19" s="67"/>
      <c r="AI19" s="67"/>
      <c r="AJ19" s="67"/>
      <c r="AQ19" s="74" t="s">
        <v>349</v>
      </c>
      <c r="AR19" s="67"/>
      <c r="AS19" s="67"/>
    </row>
    <row r="20" spans="2:48" ht="16.5" x14ac:dyDescent="0.3">
      <c r="AD20" s="293" t="s">
        <v>407</v>
      </c>
      <c r="AE20" s="70">
        <v>2</v>
      </c>
      <c r="AF20" s="70">
        <v>1</v>
      </c>
      <c r="AG20" s="70"/>
      <c r="AH20" s="67"/>
      <c r="AI20" s="67"/>
      <c r="AJ20" s="67"/>
      <c r="AQ20" s="67" t="s">
        <v>126</v>
      </c>
      <c r="AR20" s="67">
        <v>75</v>
      </c>
      <c r="AS20" s="67"/>
    </row>
    <row r="21" spans="2:48" ht="16.5" x14ac:dyDescent="0.3">
      <c r="AQ21" s="67" t="s">
        <v>127</v>
      </c>
      <c r="AR21" s="67">
        <v>125</v>
      </c>
      <c r="AS21" s="67"/>
    </row>
    <row r="22" spans="2:48" ht="16.5" x14ac:dyDescent="0.3">
      <c r="AQ22" s="67" t="s">
        <v>128</v>
      </c>
      <c r="AR22" s="67">
        <v>100</v>
      </c>
      <c r="AS22" s="67"/>
    </row>
    <row r="23" spans="2:48" ht="16.5" x14ac:dyDescent="0.3">
      <c r="AQ23" s="67" t="s">
        <v>129</v>
      </c>
      <c r="AR23" s="67">
        <v>150</v>
      </c>
      <c r="AS23" s="67"/>
      <c r="AT23" s="67"/>
      <c r="AU23" s="67"/>
    </row>
    <row r="24" spans="2:48" ht="17.25" thickBot="1" x14ac:dyDescent="0.35">
      <c r="AH24" s="73" t="s">
        <v>125</v>
      </c>
      <c r="AQ24" s="95" t="s">
        <v>366</v>
      </c>
      <c r="AR24" s="96">
        <f>SUM(AR20:AR23)</f>
        <v>450</v>
      </c>
      <c r="AS24" s="67"/>
      <c r="AT24" s="67"/>
      <c r="AU24" s="67"/>
    </row>
    <row r="25" spans="2:48" ht="17.25" thickTop="1" x14ac:dyDescent="0.3">
      <c r="AI25" s="73" t="s">
        <v>124</v>
      </c>
      <c r="AQ25" s="74" t="s">
        <v>351</v>
      </c>
      <c r="AR25" s="67"/>
      <c r="AS25" s="67"/>
      <c r="AT25" s="67"/>
      <c r="AU25" s="67"/>
    </row>
    <row r="26" spans="2:48" ht="16.5" x14ac:dyDescent="0.3">
      <c r="AJ26" s="73" t="s">
        <v>116</v>
      </c>
      <c r="AQ26" s="67" t="s">
        <v>126</v>
      </c>
      <c r="AR26" s="67">
        <v>100</v>
      </c>
      <c r="AS26" s="67"/>
      <c r="AT26" s="67"/>
      <c r="AU26" s="67"/>
    </row>
    <row r="27" spans="2:48" ht="16.5" x14ac:dyDescent="0.3">
      <c r="AQ27" s="67" t="s">
        <v>127</v>
      </c>
      <c r="AR27" s="67">
        <v>100</v>
      </c>
      <c r="AS27" s="67"/>
      <c r="AT27" s="67"/>
      <c r="AU27" s="67"/>
    </row>
    <row r="28" spans="2:48" ht="16.5" x14ac:dyDescent="0.3">
      <c r="AQ28" s="67" t="s">
        <v>128</v>
      </c>
      <c r="AR28" s="67">
        <v>100</v>
      </c>
      <c r="AS28" s="67"/>
      <c r="AT28" s="67"/>
      <c r="AU28" s="67"/>
    </row>
    <row r="29" spans="2:48" ht="17.25" thickBot="1" x14ac:dyDescent="0.35">
      <c r="AQ29" s="95" t="s">
        <v>367</v>
      </c>
      <c r="AR29" s="96">
        <f>SUM(AR26:AR28)</f>
        <v>300</v>
      </c>
      <c r="AS29" s="67"/>
      <c r="AT29" s="67"/>
      <c r="AU29" s="67"/>
    </row>
    <row r="30" spans="2:48" ht="17.25" thickTop="1" x14ac:dyDescent="0.3">
      <c r="AS30" s="67"/>
      <c r="AT30" s="67"/>
      <c r="AU30" s="67"/>
    </row>
    <row r="31" spans="2:48" ht="15.75" thickBot="1" x14ac:dyDescent="0.3"/>
    <row r="32" spans="2:48" x14ac:dyDescent="0.25">
      <c r="B32" s="56"/>
      <c r="C32" s="56"/>
      <c r="D32" s="56"/>
      <c r="E32" s="56"/>
      <c r="F32" s="56"/>
      <c r="G32" s="56"/>
      <c r="H32" s="56"/>
      <c r="I32" s="56"/>
      <c r="J32" s="56"/>
      <c r="K32" s="56"/>
      <c r="L32" s="56"/>
      <c r="M32" s="56"/>
      <c r="N32" s="56"/>
      <c r="O32" s="56"/>
      <c r="P32" s="56"/>
      <c r="Q32" s="56"/>
      <c r="R32" s="56"/>
      <c r="S32" s="56"/>
      <c r="T32" s="56"/>
      <c r="U32" s="56"/>
    </row>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sheetData>
  <mergeCells count="1">
    <mergeCell ref="AQ6:AR6"/>
  </mergeCells>
  <phoneticPr fontId="22" type="noConversion"/>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BB1DB-D2A1-4E38-BA6A-E029847227D0}">
  <sheetPr codeName="Sheet30">
    <tabColor theme="1" tint="0.499984740745262"/>
  </sheetPr>
  <dimension ref="A1:BF40"/>
  <sheetViews>
    <sheetView workbookViewId="0">
      <pane xSplit="1" ySplit="2" topLeftCell="V3" activePane="bottomRight" state="frozen"/>
      <selection activeCell="B4" sqref="B4:D4"/>
      <selection pane="topRight" activeCell="B4" sqref="B4:D4"/>
      <selection pane="bottomLeft" activeCell="B4" sqref="B4:D4"/>
      <selection pane="bottomRight" activeCell="AO5" sqref="AO5"/>
    </sheetView>
  </sheetViews>
  <sheetFormatPr defaultRowHeight="15" x14ac:dyDescent="0.25"/>
  <cols>
    <col min="1" max="1" width="7.7109375" customWidth="1"/>
    <col min="2" max="2" width="11.7109375" customWidth="1"/>
    <col min="3" max="3" width="25.7109375" customWidth="1"/>
    <col min="4" max="4" width="7.7109375" customWidth="1"/>
    <col min="5" max="5" width="10.7109375" customWidth="1"/>
    <col min="6" max="6" width="16.7109375" customWidth="1"/>
    <col min="7" max="7" width="10.85546875" bestFit="1" customWidth="1"/>
    <col min="11" max="11" width="25.7109375" customWidth="1"/>
    <col min="12" max="12" width="11.28515625" customWidth="1"/>
    <col min="13" max="13" width="9.85546875" customWidth="1"/>
    <col min="14" max="14" width="10.140625" customWidth="1"/>
    <col min="15" max="15" width="10.42578125" customWidth="1"/>
    <col min="16" max="16" width="13.85546875" customWidth="1"/>
    <col min="17" max="17" width="12.42578125" customWidth="1"/>
    <col min="18" max="18" width="9.7109375" customWidth="1"/>
    <col min="20" max="20" width="10.7109375" customWidth="1"/>
    <col min="21" max="21" width="12.7109375" customWidth="1"/>
    <col min="30" max="30" width="16.7109375" customWidth="1"/>
    <col min="31" max="36" width="11.7109375" customWidth="1"/>
    <col min="53" max="53" width="14.140625" customWidth="1"/>
  </cols>
  <sheetData>
    <row r="1" spans="1:58" ht="18.75" x14ac:dyDescent="0.3">
      <c r="B1" s="55" t="s">
        <v>103</v>
      </c>
    </row>
    <row r="2" spans="1:58" x14ac:dyDescent="0.25">
      <c r="B2">
        <v>11</v>
      </c>
      <c r="C2">
        <v>25</v>
      </c>
      <c r="D2">
        <v>7</v>
      </c>
      <c r="E2">
        <v>10</v>
      </c>
      <c r="F2">
        <v>16</v>
      </c>
      <c r="G2">
        <v>11</v>
      </c>
      <c r="J2">
        <v>9</v>
      </c>
      <c r="K2">
        <v>26</v>
      </c>
      <c r="L2">
        <v>9</v>
      </c>
      <c r="M2">
        <v>9</v>
      </c>
      <c r="N2">
        <v>9</v>
      </c>
      <c r="O2">
        <v>9</v>
      </c>
      <c r="P2">
        <v>12</v>
      </c>
      <c r="Q2">
        <v>9</v>
      </c>
      <c r="R2">
        <v>9</v>
      </c>
      <c r="T2">
        <v>10</v>
      </c>
      <c r="U2">
        <v>12</v>
      </c>
      <c r="X2" t="s">
        <v>149</v>
      </c>
      <c r="Y2" t="s">
        <v>150</v>
      </c>
      <c r="AD2">
        <v>16</v>
      </c>
      <c r="AE2">
        <v>11</v>
      </c>
      <c r="AF2">
        <v>11</v>
      </c>
      <c r="AG2">
        <v>11</v>
      </c>
      <c r="AH2">
        <v>11</v>
      </c>
      <c r="AI2">
        <v>11</v>
      </c>
      <c r="AJ2">
        <v>11</v>
      </c>
      <c r="AL2" t="s">
        <v>149</v>
      </c>
      <c r="AM2" t="s">
        <v>150</v>
      </c>
    </row>
    <row r="3" spans="1:58" x14ac:dyDescent="0.25">
      <c r="B3" s="416" t="s">
        <v>635</v>
      </c>
      <c r="C3" s="417"/>
      <c r="D3" s="417"/>
      <c r="E3" s="417"/>
      <c r="F3" s="417"/>
      <c r="G3" s="417"/>
      <c r="H3" s="417"/>
      <c r="I3" s="417"/>
      <c r="J3" s="418" t="s">
        <v>636</v>
      </c>
      <c r="K3" s="419"/>
      <c r="L3" s="419"/>
      <c r="M3" s="419"/>
      <c r="N3" s="419"/>
      <c r="O3" s="419"/>
      <c r="P3" s="419"/>
      <c r="Q3" s="419"/>
      <c r="R3" s="419"/>
      <c r="S3" s="419"/>
      <c r="T3" s="420" t="s">
        <v>637</v>
      </c>
      <c r="U3" s="421"/>
      <c r="V3" s="421"/>
      <c r="W3" s="421"/>
      <c r="X3" s="421"/>
      <c r="Y3" s="421"/>
      <c r="Z3" s="421"/>
      <c r="AA3" s="421"/>
      <c r="AB3" s="421"/>
      <c r="AC3" s="421"/>
      <c r="AD3" s="418" t="s">
        <v>516</v>
      </c>
      <c r="AE3" s="419"/>
      <c r="AF3" s="419"/>
      <c r="AG3" s="419"/>
      <c r="AH3" s="419"/>
      <c r="AI3" s="419"/>
      <c r="AJ3" s="419"/>
      <c r="AK3" s="419"/>
      <c r="AL3" s="419"/>
      <c r="AM3" s="419"/>
      <c r="AN3" s="414" t="s">
        <v>509</v>
      </c>
      <c r="AO3" s="415"/>
      <c r="AP3" s="415"/>
      <c r="AQ3" s="415"/>
      <c r="AR3" s="415"/>
      <c r="AS3" s="415"/>
      <c r="AT3" s="415"/>
      <c r="AU3" s="415"/>
      <c r="AV3" s="415"/>
      <c r="AW3" s="415"/>
    </row>
    <row r="4" spans="1:58" ht="27" x14ac:dyDescent="0.5">
      <c r="A4">
        <v>28</v>
      </c>
      <c r="B4" s="84" t="s">
        <v>491</v>
      </c>
      <c r="J4" s="84" t="s">
        <v>491</v>
      </c>
      <c r="T4" s="84" t="s">
        <v>491</v>
      </c>
      <c r="AD4" s="84" t="s">
        <v>491</v>
      </c>
      <c r="AY4" s="311" t="s">
        <v>492</v>
      </c>
      <c r="AZ4" s="311" t="s">
        <v>494</v>
      </c>
      <c r="BA4" s="311" t="s">
        <v>497</v>
      </c>
      <c r="BB4" s="312" t="s">
        <v>139</v>
      </c>
      <c r="BC4" s="312"/>
      <c r="BD4" s="312"/>
      <c r="BE4" s="312"/>
      <c r="BF4" s="312"/>
    </row>
    <row r="5" spans="1:58" x14ac:dyDescent="0.25">
      <c r="A5">
        <v>14.4</v>
      </c>
      <c r="B5" s="232" t="s">
        <v>501</v>
      </c>
      <c r="C5" s="232" t="s">
        <v>500</v>
      </c>
      <c r="D5" s="232" t="s">
        <v>502</v>
      </c>
      <c r="E5" s="232" t="s">
        <v>503</v>
      </c>
      <c r="F5" s="232" t="s">
        <v>504</v>
      </c>
      <c r="G5" s="232" t="s">
        <v>505</v>
      </c>
      <c r="AD5" t="s">
        <v>514</v>
      </c>
      <c r="AN5" t="s">
        <v>148</v>
      </c>
      <c r="AY5" t="s">
        <v>493</v>
      </c>
      <c r="AZ5" t="s">
        <v>200</v>
      </c>
      <c r="BA5" t="s">
        <v>495</v>
      </c>
    </row>
    <row r="6" spans="1:58" x14ac:dyDescent="0.25">
      <c r="A6">
        <v>14.4</v>
      </c>
      <c r="B6" s="233" t="s">
        <v>535</v>
      </c>
      <c r="C6" s="233" t="s">
        <v>531</v>
      </c>
      <c r="D6" s="233">
        <f t="shared" ref="D6:D19" ca="1" si="0">YEAR(TODAY())</f>
        <v>2025</v>
      </c>
      <c r="E6" s="233" t="s">
        <v>510</v>
      </c>
      <c r="F6" s="233" t="s">
        <v>526</v>
      </c>
      <c r="G6" s="313">
        <v>45966</v>
      </c>
      <c r="J6" s="232" t="s">
        <v>501</v>
      </c>
      <c r="K6" s="232" t="s">
        <v>500</v>
      </c>
      <c r="L6" s="236" t="s">
        <v>506</v>
      </c>
      <c r="M6" s="236" t="s">
        <v>507</v>
      </c>
      <c r="N6" s="237" t="s">
        <v>508</v>
      </c>
      <c r="O6" s="232" t="s">
        <v>522</v>
      </c>
      <c r="P6" s="232" t="s">
        <v>523</v>
      </c>
      <c r="Q6" s="232" t="s">
        <v>524</v>
      </c>
      <c r="R6" s="232" t="s">
        <v>525</v>
      </c>
      <c r="T6" s="247" t="s">
        <v>503</v>
      </c>
      <c r="U6" s="314" t="s">
        <v>509</v>
      </c>
      <c r="AZ6" t="s">
        <v>200</v>
      </c>
      <c r="BA6" t="s">
        <v>199</v>
      </c>
    </row>
    <row r="7" spans="1:58" x14ac:dyDescent="0.25">
      <c r="A7">
        <v>14.4</v>
      </c>
      <c r="B7" s="85" t="s">
        <v>536</v>
      </c>
      <c r="C7" s="85" t="s">
        <v>530</v>
      </c>
      <c r="D7" s="85">
        <f t="shared" ca="1" si="0"/>
        <v>2025</v>
      </c>
      <c r="E7" s="85" t="s">
        <v>510</v>
      </c>
      <c r="F7" s="85" t="s">
        <v>527</v>
      </c>
      <c r="G7" s="86">
        <v>45965</v>
      </c>
      <c r="J7" s="233" t="s">
        <v>535</v>
      </c>
      <c r="K7" s="233" t="s">
        <v>531</v>
      </c>
      <c r="L7" s="238">
        <v>0.58333333333333337</v>
      </c>
      <c r="M7" s="238">
        <v>0.64583333333333337</v>
      </c>
      <c r="N7" s="239">
        <v>6.25E-2</v>
      </c>
      <c r="O7" s="233">
        <v>12</v>
      </c>
      <c r="P7" s="233">
        <v>15</v>
      </c>
      <c r="Q7" s="233">
        <v>12</v>
      </c>
      <c r="R7" s="233"/>
      <c r="T7" s="245" t="s">
        <v>510</v>
      </c>
      <c r="U7" s="246">
        <v>220</v>
      </c>
      <c r="AD7" s="89" t="s">
        <v>515</v>
      </c>
      <c r="AE7" s="90" t="s">
        <v>517</v>
      </c>
      <c r="AF7" s="90" t="s">
        <v>518</v>
      </c>
      <c r="AG7" s="90" t="s">
        <v>519</v>
      </c>
      <c r="AH7" s="90" t="s">
        <v>520</v>
      </c>
      <c r="AI7" s="90" t="s">
        <v>521</v>
      </c>
      <c r="AJ7" s="90" t="s">
        <v>357</v>
      </c>
      <c r="AZ7" t="s">
        <v>200</v>
      </c>
      <c r="BA7" t="s">
        <v>201</v>
      </c>
    </row>
    <row r="8" spans="1:58" x14ac:dyDescent="0.25">
      <c r="A8">
        <v>14.4</v>
      </c>
      <c r="B8" s="234" t="s">
        <v>540</v>
      </c>
      <c r="C8" s="234" t="s">
        <v>532</v>
      </c>
      <c r="D8" s="234">
        <f t="shared" ca="1" si="0"/>
        <v>2025</v>
      </c>
      <c r="E8" s="234" t="s">
        <v>510</v>
      </c>
      <c r="F8" s="234" t="s">
        <v>527</v>
      </c>
      <c r="G8" s="235">
        <v>45966</v>
      </c>
      <c r="J8" s="85" t="s">
        <v>536</v>
      </c>
      <c r="K8" s="85" t="s">
        <v>530</v>
      </c>
      <c r="L8" s="87">
        <v>0.33333333333333331</v>
      </c>
      <c r="M8" s="87">
        <v>0.39583333333333331</v>
      </c>
      <c r="N8" s="88">
        <v>6.25E-2</v>
      </c>
      <c r="O8" s="85">
        <v>24</v>
      </c>
      <c r="P8" s="85">
        <v>23</v>
      </c>
      <c r="Q8" s="85">
        <v>28</v>
      </c>
      <c r="R8" s="85"/>
      <c r="T8" s="145" t="s">
        <v>511</v>
      </c>
      <c r="U8" s="146">
        <v>280</v>
      </c>
      <c r="AD8" s="91" t="s">
        <v>516</v>
      </c>
      <c r="AE8" s="91">
        <v>6</v>
      </c>
      <c r="AF8" s="91">
        <v>8</v>
      </c>
      <c r="AG8" s="91">
        <v>5</v>
      </c>
      <c r="AH8" s="91">
        <v>8</v>
      </c>
      <c r="AI8" s="91">
        <v>4</v>
      </c>
      <c r="AJ8" s="91">
        <f>SUM(AE8:AI8)</f>
        <v>31</v>
      </c>
      <c r="AZ8" t="s">
        <v>200</v>
      </c>
      <c r="BA8" t="s">
        <v>496</v>
      </c>
    </row>
    <row r="9" spans="1:58" x14ac:dyDescent="0.25">
      <c r="A9">
        <v>14.4</v>
      </c>
      <c r="B9" s="85" t="s">
        <v>541</v>
      </c>
      <c r="C9" s="85" t="s">
        <v>533</v>
      </c>
      <c r="D9" s="85">
        <f t="shared" ca="1" si="0"/>
        <v>2025</v>
      </c>
      <c r="E9" s="85" t="s">
        <v>510</v>
      </c>
      <c r="F9" s="85" t="s">
        <v>528</v>
      </c>
      <c r="G9" s="86">
        <v>45953</v>
      </c>
      <c r="J9" s="234" t="s">
        <v>539</v>
      </c>
      <c r="K9" s="234" t="s">
        <v>537</v>
      </c>
      <c r="L9" s="240">
        <v>0.41666666666666669</v>
      </c>
      <c r="M9" s="240">
        <v>0.47916666666666669</v>
      </c>
      <c r="N9" s="241">
        <v>6.25E-2</v>
      </c>
      <c r="O9" s="234">
        <v>10</v>
      </c>
      <c r="P9" s="234">
        <v>13</v>
      </c>
      <c r="Q9" s="234">
        <v>15</v>
      </c>
      <c r="R9" s="234"/>
      <c r="T9" s="145" t="s">
        <v>512</v>
      </c>
      <c r="U9" s="146">
        <v>180</v>
      </c>
      <c r="AZ9" t="s">
        <v>200</v>
      </c>
      <c r="BA9" t="s">
        <v>498</v>
      </c>
    </row>
    <row r="10" spans="1:58" x14ac:dyDescent="0.25">
      <c r="A10">
        <v>14.4</v>
      </c>
      <c r="B10" s="234" t="s">
        <v>542</v>
      </c>
      <c r="C10" s="234" t="s">
        <v>534</v>
      </c>
      <c r="D10" s="234">
        <f t="shared" ca="1" si="0"/>
        <v>2025</v>
      </c>
      <c r="E10" s="234" t="s">
        <v>510</v>
      </c>
      <c r="F10" s="234" t="s">
        <v>529</v>
      </c>
      <c r="G10" s="235">
        <v>45961</v>
      </c>
      <c r="J10" s="85" t="s">
        <v>540</v>
      </c>
      <c r="K10" s="85" t="s">
        <v>532</v>
      </c>
      <c r="L10" s="87">
        <v>0.45833333333333331</v>
      </c>
      <c r="M10" s="87">
        <v>0.5</v>
      </c>
      <c r="N10" s="88">
        <v>4.1666666666666685E-2</v>
      </c>
      <c r="O10" s="85">
        <v>35</v>
      </c>
      <c r="P10" s="85">
        <v>25</v>
      </c>
      <c r="Q10" s="85">
        <v>23</v>
      </c>
      <c r="R10" s="85"/>
      <c r="T10" s="147" t="s">
        <v>513</v>
      </c>
      <c r="U10" s="148">
        <v>150</v>
      </c>
      <c r="AZ10" t="s">
        <v>200</v>
      </c>
      <c r="BA10" t="s">
        <v>499</v>
      </c>
    </row>
    <row r="11" spans="1:58" x14ac:dyDescent="0.25">
      <c r="A11">
        <v>14.4</v>
      </c>
      <c r="B11" s="85" t="s">
        <v>540</v>
      </c>
      <c r="C11" s="85" t="s">
        <v>532</v>
      </c>
      <c r="D11" s="85">
        <f t="shared" ca="1" si="0"/>
        <v>2025</v>
      </c>
      <c r="E11" s="85" t="s">
        <v>510</v>
      </c>
      <c r="F11" s="85" t="s">
        <v>527</v>
      </c>
      <c r="G11" s="86">
        <v>45953</v>
      </c>
      <c r="J11" s="234" t="s">
        <v>541</v>
      </c>
      <c r="K11" s="234" t="s">
        <v>533</v>
      </c>
      <c r="L11" s="240">
        <v>0.58333333333333337</v>
      </c>
      <c r="M11" s="240">
        <v>0.64583333333333337</v>
      </c>
      <c r="N11" s="241">
        <v>4.1666666666666685E-2</v>
      </c>
      <c r="O11" s="234">
        <v>25</v>
      </c>
      <c r="P11" s="234">
        <v>36</v>
      </c>
      <c r="Q11" s="234">
        <v>13</v>
      </c>
      <c r="R11" s="234"/>
    </row>
    <row r="12" spans="1:58" x14ac:dyDescent="0.25">
      <c r="A12">
        <v>14.4</v>
      </c>
      <c r="B12" s="234" t="s">
        <v>536</v>
      </c>
      <c r="C12" s="234" t="s">
        <v>530</v>
      </c>
      <c r="D12" s="234">
        <f t="shared" ca="1" si="0"/>
        <v>2025</v>
      </c>
      <c r="E12" s="234" t="s">
        <v>510</v>
      </c>
      <c r="F12" s="234" t="s">
        <v>529</v>
      </c>
      <c r="G12" s="235">
        <v>45957</v>
      </c>
      <c r="J12" s="242" t="s">
        <v>542</v>
      </c>
      <c r="K12" s="242" t="s">
        <v>534</v>
      </c>
      <c r="L12" s="243">
        <v>0.41666666666666669</v>
      </c>
      <c r="M12" s="243">
        <v>0.45833333333333331</v>
      </c>
      <c r="N12" s="244">
        <v>4.166666666666663E-2</v>
      </c>
      <c r="O12" s="242">
        <v>5</v>
      </c>
      <c r="P12" s="242">
        <v>6</v>
      </c>
      <c r="Q12" s="242">
        <v>12</v>
      </c>
      <c r="R12" s="242"/>
    </row>
    <row r="13" spans="1:58" x14ac:dyDescent="0.25">
      <c r="A13">
        <v>14.4</v>
      </c>
      <c r="B13" s="85" t="s">
        <v>535</v>
      </c>
      <c r="C13" s="85" t="s">
        <v>531</v>
      </c>
      <c r="D13" s="85">
        <f t="shared" ca="1" si="0"/>
        <v>2025</v>
      </c>
      <c r="E13" s="85" t="s">
        <v>510</v>
      </c>
      <c r="F13" s="85" t="s">
        <v>526</v>
      </c>
      <c r="G13" s="86">
        <v>45964</v>
      </c>
    </row>
    <row r="14" spans="1:58" x14ac:dyDescent="0.25">
      <c r="A14">
        <v>14.4</v>
      </c>
      <c r="B14" s="234" t="s">
        <v>539</v>
      </c>
      <c r="C14" s="234" t="s">
        <v>537</v>
      </c>
      <c r="D14" s="234">
        <f t="shared" ca="1" si="0"/>
        <v>2025</v>
      </c>
      <c r="E14" s="234" t="s">
        <v>510</v>
      </c>
      <c r="F14" s="234" t="s">
        <v>538</v>
      </c>
      <c r="G14" s="235">
        <v>45959</v>
      </c>
    </row>
    <row r="15" spans="1:58" x14ac:dyDescent="0.25">
      <c r="A15">
        <v>14.4</v>
      </c>
      <c r="B15" s="85" t="s">
        <v>540</v>
      </c>
      <c r="C15" s="85" t="s">
        <v>532</v>
      </c>
      <c r="D15" s="85">
        <f t="shared" ca="1" si="0"/>
        <v>2025</v>
      </c>
      <c r="E15" s="85" t="s">
        <v>510</v>
      </c>
      <c r="F15" s="85" t="s">
        <v>527</v>
      </c>
      <c r="G15" s="86">
        <v>45956</v>
      </c>
    </row>
    <row r="16" spans="1:58" x14ac:dyDescent="0.25">
      <c r="A16">
        <v>14.4</v>
      </c>
      <c r="B16" s="234" t="s">
        <v>541</v>
      </c>
      <c r="C16" s="234" t="s">
        <v>533</v>
      </c>
      <c r="D16" s="234">
        <f t="shared" ca="1" si="0"/>
        <v>2025</v>
      </c>
      <c r="E16" s="234" t="s">
        <v>510</v>
      </c>
      <c r="F16" s="234" t="s">
        <v>528</v>
      </c>
      <c r="G16" s="235">
        <v>45957</v>
      </c>
    </row>
    <row r="17" spans="1:15" x14ac:dyDescent="0.25">
      <c r="A17">
        <v>14.4</v>
      </c>
      <c r="B17" s="85" t="s">
        <v>542</v>
      </c>
      <c r="C17" s="85" t="s">
        <v>534</v>
      </c>
      <c r="D17" s="85">
        <f t="shared" ca="1" si="0"/>
        <v>2025</v>
      </c>
      <c r="E17" s="85" t="s">
        <v>510</v>
      </c>
      <c r="F17" s="85" t="s">
        <v>529</v>
      </c>
      <c r="G17" s="86">
        <v>45968</v>
      </c>
    </row>
    <row r="18" spans="1:15" x14ac:dyDescent="0.25">
      <c r="A18">
        <v>14.4</v>
      </c>
      <c r="B18" s="234" t="s">
        <v>540</v>
      </c>
      <c r="C18" s="234" t="s">
        <v>532</v>
      </c>
      <c r="D18" s="234">
        <f t="shared" ca="1" si="0"/>
        <v>2025</v>
      </c>
      <c r="E18" s="234" t="s">
        <v>510</v>
      </c>
      <c r="F18" s="234" t="s">
        <v>527</v>
      </c>
      <c r="G18" s="235">
        <v>45955</v>
      </c>
      <c r="J18" s="94"/>
    </row>
    <row r="19" spans="1:15" x14ac:dyDescent="0.25">
      <c r="A19">
        <v>14.4</v>
      </c>
      <c r="B19" s="242" t="s">
        <v>539</v>
      </c>
      <c r="C19" s="242" t="s">
        <v>537</v>
      </c>
      <c r="D19" s="242">
        <f t="shared" ca="1" si="0"/>
        <v>2025</v>
      </c>
      <c r="E19" s="242" t="s">
        <v>510</v>
      </c>
      <c r="F19" s="242" t="s">
        <v>538</v>
      </c>
      <c r="G19" s="310">
        <v>45953</v>
      </c>
    </row>
    <row r="31" spans="1:15" ht="15.75" thickBot="1" x14ac:dyDescent="0.3"/>
    <row r="32" spans="1:15" x14ac:dyDescent="0.25">
      <c r="B32" s="56"/>
      <c r="C32" s="56"/>
      <c r="D32" s="56"/>
      <c r="E32" s="56"/>
      <c r="F32" s="56"/>
      <c r="G32" s="56"/>
      <c r="H32" s="56"/>
      <c r="I32" s="56"/>
      <c r="J32" s="56"/>
      <c r="K32" s="56"/>
      <c r="L32" s="56"/>
      <c r="M32" s="56"/>
      <c r="N32" s="56"/>
      <c r="O32" s="56"/>
    </row>
    <row r="33" ht="14.45" customHeight="1" x14ac:dyDescent="0.25"/>
    <row r="34" ht="14.45" customHeight="1" x14ac:dyDescent="0.25"/>
    <row r="35" ht="14.45" customHeight="1" x14ac:dyDescent="0.25"/>
    <row r="36" ht="14.45" customHeight="1" x14ac:dyDescent="0.25"/>
    <row r="37" ht="14.45" customHeight="1" x14ac:dyDescent="0.25"/>
    <row r="38" ht="14.45" customHeight="1" x14ac:dyDescent="0.25"/>
    <row r="39" ht="14.45" customHeight="1" x14ac:dyDescent="0.25"/>
    <row r="40" ht="14.45" customHeight="1" x14ac:dyDescent="0.25"/>
  </sheetData>
  <mergeCells count="5">
    <mergeCell ref="AN3:AW3"/>
    <mergeCell ref="B3:I3"/>
    <mergeCell ref="J3:S3"/>
    <mergeCell ref="T3:AC3"/>
    <mergeCell ref="AD3:AM3"/>
  </mergeCells>
  <dataValidations count="2">
    <dataValidation allowBlank="1" showInputMessage="1" showErrorMessage="1" prompt="Select a Course ID from the drop down list" sqref="B5" xr:uid="{B388F0D1-3E24-4A38-9730-94A277BE1702}"/>
    <dataValidation allowBlank="1" showInputMessage="1" showErrorMessage="1" prompt="Course Name is automatically updated from the Class List worksheet" sqref="C5" xr:uid="{E7181CF7-D9DE-4F0F-9FE7-E0CF0743C9DC}"/>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B54CD2D6-6294-429D-86B7-2378A7F51AF2}">
          <x14:formula1>
            <xm:f>Setting!$R$2:$R$23</xm:f>
          </x14:formula1>
          <xm:sqref>BB4:BF4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5D892-2210-4305-BCAF-B9A7B4854E4C}">
  <sheetPr codeName="Sheet31">
    <tabColor theme="1" tint="0.499984740745262"/>
  </sheetPr>
  <dimension ref="A1:U79"/>
  <sheetViews>
    <sheetView workbookViewId="0">
      <pane xSplit="1" ySplit="3" topLeftCell="C4" activePane="bottomRight" state="frozen"/>
      <selection activeCell="B4" sqref="B4:D4"/>
      <selection pane="topRight" activeCell="B4" sqref="B4:D4"/>
      <selection pane="bottomLeft" activeCell="B4" sqref="B4:D4"/>
      <selection pane="bottomRight" activeCell="J25" sqref="J25"/>
    </sheetView>
  </sheetViews>
  <sheetFormatPr defaultRowHeight="15" x14ac:dyDescent="0.25"/>
  <cols>
    <col min="1" max="1" width="7.7109375" customWidth="1"/>
    <col min="2" max="3" width="12.7109375" customWidth="1"/>
    <col min="4" max="4" width="13.7109375" customWidth="1"/>
    <col min="5" max="6" width="12.7109375" customWidth="1"/>
    <col min="7" max="11" width="13.7109375" customWidth="1"/>
    <col min="12" max="12" width="5.7109375" customWidth="1"/>
    <col min="13" max="13" width="10.7109375" customWidth="1"/>
    <col min="14" max="14" width="20.7109375" customWidth="1"/>
    <col min="15" max="15" width="15.7109375" customWidth="1"/>
    <col min="16" max="16" width="20.7109375" customWidth="1"/>
    <col min="18" max="18" width="10.7109375" bestFit="1" customWidth="1"/>
  </cols>
  <sheetData>
    <row r="1" spans="1:21" ht="18.75" x14ac:dyDescent="0.3">
      <c r="B1" s="55" t="s">
        <v>104</v>
      </c>
    </row>
    <row r="2" spans="1:21" s="42" customFormat="1" x14ac:dyDescent="0.25">
      <c r="B2" s="42">
        <v>12</v>
      </c>
      <c r="C2" s="42">
        <v>12</v>
      </c>
      <c r="D2" s="42">
        <v>13</v>
      </c>
      <c r="E2" s="42">
        <v>12</v>
      </c>
      <c r="F2" s="42">
        <v>12</v>
      </c>
      <c r="H2" s="42" t="s">
        <v>149</v>
      </c>
      <c r="I2" s="42" t="s">
        <v>150</v>
      </c>
      <c r="L2" s="42">
        <v>5</v>
      </c>
      <c r="M2" s="42">
        <v>10</v>
      </c>
      <c r="N2" s="42">
        <v>20</v>
      </c>
      <c r="O2" s="42">
        <v>15</v>
      </c>
      <c r="P2" s="42">
        <v>20</v>
      </c>
    </row>
    <row r="3" spans="1:21" x14ac:dyDescent="0.25">
      <c r="B3" s="416" t="s">
        <v>633</v>
      </c>
      <c r="C3" s="417"/>
      <c r="D3" s="417"/>
      <c r="E3" s="417"/>
      <c r="F3" s="417"/>
      <c r="G3" s="417"/>
      <c r="H3" s="417"/>
      <c r="I3" s="417"/>
      <c r="J3" s="417"/>
      <c r="K3" s="417"/>
      <c r="L3" s="418" t="s">
        <v>632</v>
      </c>
      <c r="M3" s="419"/>
      <c r="N3" s="419"/>
      <c r="O3" s="419"/>
      <c r="P3" s="419"/>
      <c r="Q3" s="419"/>
      <c r="R3" s="419"/>
      <c r="S3" s="419"/>
      <c r="T3" s="419"/>
      <c r="U3" s="419"/>
    </row>
    <row r="4" spans="1:21" ht="20.100000000000001" customHeight="1" x14ac:dyDescent="0.4">
      <c r="A4">
        <v>24</v>
      </c>
      <c r="B4" s="98" t="s">
        <v>543</v>
      </c>
      <c r="L4" s="98" t="s">
        <v>543</v>
      </c>
      <c r="M4" s="32"/>
      <c r="N4" s="32"/>
      <c r="O4" s="32"/>
      <c r="P4" s="32"/>
    </row>
    <row r="6" spans="1:21" ht="23.25" x14ac:dyDescent="0.35">
      <c r="A6">
        <v>24</v>
      </c>
      <c r="B6" s="422" t="s">
        <v>544</v>
      </c>
      <c r="C6" s="422"/>
      <c r="D6" s="422"/>
      <c r="E6" s="422"/>
      <c r="F6" s="422"/>
      <c r="L6" s="422" t="s">
        <v>551</v>
      </c>
      <c r="M6" s="422"/>
      <c r="N6" s="422"/>
      <c r="O6" s="422"/>
      <c r="P6" s="422"/>
    </row>
    <row r="7" spans="1:21" x14ac:dyDescent="0.25">
      <c r="B7" s="248" t="s">
        <v>545</v>
      </c>
      <c r="C7" s="249" t="s">
        <v>546</v>
      </c>
      <c r="D7" s="249" t="s">
        <v>547</v>
      </c>
      <c r="E7" s="249" t="s">
        <v>548</v>
      </c>
      <c r="F7" s="250" t="s">
        <v>549</v>
      </c>
      <c r="L7" s="127" t="s">
        <v>113</v>
      </c>
      <c r="M7" s="128" t="s">
        <v>545</v>
      </c>
      <c r="N7" s="128" t="s">
        <v>569</v>
      </c>
      <c r="O7" s="128" t="s">
        <v>548</v>
      </c>
      <c r="P7" s="129" t="s">
        <v>553</v>
      </c>
    </row>
    <row r="8" spans="1:21" x14ac:dyDescent="0.25">
      <c r="B8" s="132" t="s">
        <v>554</v>
      </c>
      <c r="C8" s="133" t="s">
        <v>557</v>
      </c>
      <c r="D8" s="133" t="s">
        <v>563</v>
      </c>
      <c r="E8" s="252">
        <v>2298</v>
      </c>
      <c r="F8" s="253">
        <f>E8*10%</f>
        <v>229.8</v>
      </c>
      <c r="H8" s="316"/>
      <c r="L8" s="251">
        <v>1</v>
      </c>
      <c r="M8" s="131" t="s">
        <v>554</v>
      </c>
      <c r="N8" s="131" t="s">
        <v>570</v>
      </c>
      <c r="O8" s="92">
        <v>948</v>
      </c>
      <c r="P8" s="317">
        <v>45043</v>
      </c>
      <c r="R8" s="316"/>
    </row>
    <row r="9" spans="1:21" x14ac:dyDescent="0.25">
      <c r="B9" s="132" t="s">
        <v>554</v>
      </c>
      <c r="C9" s="133" t="s">
        <v>558</v>
      </c>
      <c r="D9" s="133" t="s">
        <v>564</v>
      </c>
      <c r="E9" s="252">
        <v>1883</v>
      </c>
      <c r="F9" s="253"/>
      <c r="H9" s="316"/>
      <c r="L9" s="251">
        <v>2</v>
      </c>
      <c r="M9" s="131" t="s">
        <v>556</v>
      </c>
      <c r="N9" s="131" t="s">
        <v>571</v>
      </c>
      <c r="O9" s="92">
        <v>1889</v>
      </c>
      <c r="P9" s="317">
        <v>44782</v>
      </c>
      <c r="R9" s="316"/>
    </row>
    <row r="10" spans="1:21" x14ac:dyDescent="0.25">
      <c r="B10" s="132" t="s">
        <v>554</v>
      </c>
      <c r="C10" s="133" t="s">
        <v>559</v>
      </c>
      <c r="D10" s="133" t="s">
        <v>565</v>
      </c>
      <c r="E10" s="252">
        <v>2286</v>
      </c>
      <c r="F10" s="253"/>
      <c r="H10" s="316"/>
      <c r="L10" s="251">
        <v>3</v>
      </c>
      <c r="M10" s="131" t="s">
        <v>556</v>
      </c>
      <c r="N10" s="131" t="s">
        <v>572</v>
      </c>
      <c r="O10" s="92">
        <v>3216</v>
      </c>
      <c r="P10" s="317">
        <v>44723</v>
      </c>
      <c r="R10" s="316"/>
    </row>
    <row r="11" spans="1:21" x14ac:dyDescent="0.25">
      <c r="B11" s="132" t="s">
        <v>554</v>
      </c>
      <c r="C11" s="133" t="s">
        <v>560</v>
      </c>
      <c r="D11" s="133" t="s">
        <v>566</v>
      </c>
      <c r="E11" s="252">
        <v>547</v>
      </c>
      <c r="F11" s="253"/>
      <c r="H11" s="316"/>
      <c r="L11" s="251">
        <v>4</v>
      </c>
      <c r="M11" s="131" t="s">
        <v>556</v>
      </c>
      <c r="N11" s="131" t="s">
        <v>573</v>
      </c>
      <c r="O11" s="92">
        <v>1656</v>
      </c>
      <c r="P11" s="317">
        <v>44223</v>
      </c>
      <c r="R11" s="316"/>
    </row>
    <row r="12" spans="1:21" x14ac:dyDescent="0.25">
      <c r="B12" s="132" t="s">
        <v>556</v>
      </c>
      <c r="C12" s="133" t="s">
        <v>557</v>
      </c>
      <c r="D12" s="133" t="s">
        <v>563</v>
      </c>
      <c r="E12" s="252">
        <v>1241</v>
      </c>
      <c r="F12" s="253"/>
      <c r="H12" s="316"/>
      <c r="L12" s="251">
        <v>5</v>
      </c>
      <c r="M12" s="131" t="s">
        <v>556</v>
      </c>
      <c r="N12" s="131" t="s">
        <v>574</v>
      </c>
      <c r="O12" s="92">
        <v>2193</v>
      </c>
      <c r="P12" s="317">
        <v>44257</v>
      </c>
      <c r="R12" s="316"/>
    </row>
    <row r="13" spans="1:21" x14ac:dyDescent="0.25">
      <c r="B13" s="132" t="s">
        <v>556</v>
      </c>
      <c r="C13" s="133" t="s">
        <v>558</v>
      </c>
      <c r="D13" s="133" t="s">
        <v>564</v>
      </c>
      <c r="E13" s="252">
        <v>612</v>
      </c>
      <c r="F13" s="253"/>
      <c r="H13" s="316"/>
      <c r="L13" s="251">
        <v>6</v>
      </c>
      <c r="M13" s="131" t="s">
        <v>555</v>
      </c>
      <c r="N13" s="131" t="s">
        <v>575</v>
      </c>
      <c r="O13" s="92">
        <v>507</v>
      </c>
      <c r="P13" s="317">
        <v>45109</v>
      </c>
      <c r="R13" s="316"/>
    </row>
    <row r="14" spans="1:21" x14ac:dyDescent="0.25">
      <c r="B14" s="132" t="s">
        <v>556</v>
      </c>
      <c r="C14" s="133" t="s">
        <v>559</v>
      </c>
      <c r="D14" s="133" t="s">
        <v>565</v>
      </c>
      <c r="E14" s="252">
        <v>1083</v>
      </c>
      <c r="F14" s="253"/>
      <c r="H14" s="316"/>
      <c r="L14" s="251">
        <v>7</v>
      </c>
      <c r="M14" s="131" t="s">
        <v>556</v>
      </c>
      <c r="N14" s="131" t="s">
        <v>576</v>
      </c>
      <c r="O14" s="92">
        <v>3527</v>
      </c>
      <c r="P14" s="317">
        <v>45216</v>
      </c>
      <c r="R14" s="316"/>
    </row>
    <row r="15" spans="1:21" x14ac:dyDescent="0.25">
      <c r="B15" s="132" t="s">
        <v>556</v>
      </c>
      <c r="C15" s="133" t="s">
        <v>560</v>
      </c>
      <c r="D15" s="133" t="s">
        <v>566</v>
      </c>
      <c r="E15" s="252">
        <v>1036</v>
      </c>
      <c r="F15" s="253"/>
      <c r="H15" s="316"/>
      <c r="L15" s="130">
        <v>8</v>
      </c>
      <c r="M15" s="131" t="s">
        <v>555</v>
      </c>
      <c r="N15" s="131" t="s">
        <v>577</v>
      </c>
      <c r="O15" s="92">
        <v>925</v>
      </c>
      <c r="P15" s="317">
        <v>44078</v>
      </c>
      <c r="R15" s="316"/>
    </row>
    <row r="16" spans="1:21" x14ac:dyDescent="0.25">
      <c r="B16" s="132" t="s">
        <v>555</v>
      </c>
      <c r="C16" s="133" t="s">
        <v>557</v>
      </c>
      <c r="D16" s="133" t="s">
        <v>563</v>
      </c>
      <c r="E16" s="252">
        <v>8656</v>
      </c>
      <c r="F16" s="253"/>
      <c r="H16" s="316"/>
      <c r="L16" s="130">
        <v>9</v>
      </c>
      <c r="M16" s="131" t="s">
        <v>556</v>
      </c>
      <c r="N16" s="131" t="s">
        <v>578</v>
      </c>
      <c r="O16" s="92">
        <v>624</v>
      </c>
      <c r="P16" s="317">
        <v>44436</v>
      </c>
      <c r="R16" s="316"/>
    </row>
    <row r="17" spans="2:18" x14ac:dyDescent="0.25">
      <c r="B17" s="132" t="s">
        <v>555</v>
      </c>
      <c r="C17" s="133" t="s">
        <v>558</v>
      </c>
      <c r="D17" s="133" t="s">
        <v>564</v>
      </c>
      <c r="E17" s="252">
        <v>6446</v>
      </c>
      <c r="F17" s="253"/>
      <c r="H17" s="316"/>
      <c r="L17" s="130">
        <v>10</v>
      </c>
      <c r="M17" s="131" t="s">
        <v>556</v>
      </c>
      <c r="N17" s="131" t="s">
        <v>579</v>
      </c>
      <c r="O17" s="92">
        <v>512</v>
      </c>
      <c r="P17" s="317">
        <v>44789</v>
      </c>
      <c r="R17" s="316"/>
    </row>
    <row r="18" spans="2:18" x14ac:dyDescent="0.25">
      <c r="B18" s="132" t="s">
        <v>555</v>
      </c>
      <c r="C18" s="133" t="s">
        <v>559</v>
      </c>
      <c r="D18" s="133" t="s">
        <v>565</v>
      </c>
      <c r="E18" s="252">
        <v>5503</v>
      </c>
      <c r="F18" s="253"/>
      <c r="H18" s="316"/>
      <c r="L18" s="130">
        <v>11</v>
      </c>
      <c r="M18" s="131" t="s">
        <v>556</v>
      </c>
      <c r="N18" s="131" t="s">
        <v>580</v>
      </c>
      <c r="O18" s="92">
        <v>488</v>
      </c>
      <c r="P18" s="317">
        <v>44830</v>
      </c>
      <c r="R18" s="316"/>
    </row>
    <row r="19" spans="2:18" x14ac:dyDescent="0.25">
      <c r="B19" s="132" t="s">
        <v>555</v>
      </c>
      <c r="C19" s="133" t="s">
        <v>560</v>
      </c>
      <c r="D19" s="133" t="s">
        <v>566</v>
      </c>
      <c r="E19" s="252">
        <v>4357</v>
      </c>
      <c r="F19" s="253"/>
      <c r="H19" s="316"/>
      <c r="L19" s="130">
        <v>12</v>
      </c>
      <c r="M19" s="131" t="s">
        <v>554</v>
      </c>
      <c r="N19" s="131" t="s">
        <v>581</v>
      </c>
      <c r="O19" s="92">
        <v>194</v>
      </c>
      <c r="P19" s="317">
        <v>43866</v>
      </c>
      <c r="R19" s="316"/>
    </row>
    <row r="20" spans="2:18" x14ac:dyDescent="0.25">
      <c r="B20" s="132" t="s">
        <v>555</v>
      </c>
      <c r="C20" s="133" t="s">
        <v>561</v>
      </c>
      <c r="D20" s="133" t="s">
        <v>567</v>
      </c>
      <c r="E20" s="252">
        <v>4382</v>
      </c>
      <c r="F20" s="253"/>
      <c r="H20" s="316"/>
      <c r="L20" s="130">
        <v>13</v>
      </c>
      <c r="M20" s="131" t="s">
        <v>556</v>
      </c>
      <c r="N20" s="131" t="s">
        <v>582</v>
      </c>
      <c r="O20" s="92">
        <v>671</v>
      </c>
      <c r="P20" s="317">
        <v>44168</v>
      </c>
      <c r="R20" s="316"/>
    </row>
    <row r="21" spans="2:18" x14ac:dyDescent="0.25">
      <c r="B21" s="132" t="s">
        <v>555</v>
      </c>
      <c r="C21" s="133" t="s">
        <v>562</v>
      </c>
      <c r="D21" s="133" t="s">
        <v>568</v>
      </c>
      <c r="E21" s="252">
        <v>8687</v>
      </c>
      <c r="F21" s="253"/>
      <c r="H21" s="316"/>
      <c r="L21" s="130">
        <v>14</v>
      </c>
      <c r="M21" s="131" t="s">
        <v>556</v>
      </c>
      <c r="N21" s="131" t="s">
        <v>583</v>
      </c>
      <c r="O21" s="92">
        <v>279</v>
      </c>
      <c r="P21" s="317">
        <v>45031</v>
      </c>
      <c r="R21" s="316"/>
    </row>
    <row r="22" spans="2:18" x14ac:dyDescent="0.25">
      <c r="L22" s="130">
        <v>15</v>
      </c>
      <c r="M22" s="131" t="s">
        <v>555</v>
      </c>
      <c r="N22" s="131" t="s">
        <v>584</v>
      </c>
      <c r="O22" s="92">
        <v>823</v>
      </c>
      <c r="P22" s="317">
        <v>44446</v>
      </c>
      <c r="R22" s="316"/>
    </row>
    <row r="23" spans="2:18" x14ac:dyDescent="0.25">
      <c r="L23" s="130">
        <v>16</v>
      </c>
      <c r="M23" s="131" t="s">
        <v>555</v>
      </c>
      <c r="N23" s="131" t="s">
        <v>585</v>
      </c>
      <c r="O23" s="92">
        <v>188</v>
      </c>
      <c r="P23" s="317">
        <v>44342</v>
      </c>
      <c r="R23" s="316"/>
    </row>
    <row r="24" spans="2:18" x14ac:dyDescent="0.25">
      <c r="L24" s="130">
        <v>17</v>
      </c>
      <c r="M24" s="131" t="s">
        <v>555</v>
      </c>
      <c r="N24" s="131" t="s">
        <v>586</v>
      </c>
      <c r="O24" s="92">
        <v>204</v>
      </c>
      <c r="P24" s="317">
        <v>44155</v>
      </c>
      <c r="R24" s="316"/>
    </row>
    <row r="25" spans="2:18" x14ac:dyDescent="0.25">
      <c r="L25" s="130">
        <v>18</v>
      </c>
      <c r="M25" s="131" t="s">
        <v>554</v>
      </c>
      <c r="N25" s="131" t="s">
        <v>587</v>
      </c>
      <c r="O25" s="92">
        <v>129</v>
      </c>
      <c r="P25" s="317">
        <v>44101</v>
      </c>
      <c r="R25" s="316"/>
    </row>
    <row r="26" spans="2:18" x14ac:dyDescent="0.25">
      <c r="L26" s="130">
        <v>19</v>
      </c>
      <c r="M26" s="131" t="s">
        <v>555</v>
      </c>
      <c r="N26" s="131" t="s">
        <v>588</v>
      </c>
      <c r="O26" s="92">
        <v>564</v>
      </c>
      <c r="P26" s="317">
        <v>44962</v>
      </c>
      <c r="R26" s="316"/>
    </row>
    <row r="27" spans="2:18" x14ac:dyDescent="0.25">
      <c r="L27" s="130">
        <v>20</v>
      </c>
      <c r="M27" s="131" t="s">
        <v>556</v>
      </c>
      <c r="N27" s="131" t="s">
        <v>589</v>
      </c>
      <c r="O27" s="92">
        <v>240</v>
      </c>
      <c r="P27" s="317">
        <v>44914</v>
      </c>
      <c r="R27" s="316"/>
    </row>
    <row r="28" spans="2:18" x14ac:dyDescent="0.25">
      <c r="L28" s="130">
        <v>21</v>
      </c>
      <c r="M28" s="131" t="s">
        <v>554</v>
      </c>
      <c r="N28" s="131" t="s">
        <v>590</v>
      </c>
      <c r="O28" s="92">
        <v>218</v>
      </c>
      <c r="P28" s="317">
        <v>44020</v>
      </c>
      <c r="R28" s="316"/>
    </row>
    <row r="29" spans="2:18" x14ac:dyDescent="0.25">
      <c r="L29" s="130">
        <v>22</v>
      </c>
      <c r="M29" s="131" t="s">
        <v>556</v>
      </c>
      <c r="N29" s="131" t="s">
        <v>591</v>
      </c>
      <c r="O29" s="92">
        <v>444</v>
      </c>
      <c r="P29" s="317">
        <v>44417</v>
      </c>
      <c r="R29" s="316"/>
    </row>
    <row r="30" spans="2:18" x14ac:dyDescent="0.25">
      <c r="L30" s="130">
        <v>23</v>
      </c>
      <c r="M30" s="131" t="s">
        <v>554</v>
      </c>
      <c r="N30" s="131" t="s">
        <v>592</v>
      </c>
      <c r="O30" s="92">
        <v>987</v>
      </c>
      <c r="P30" s="317">
        <v>45001</v>
      </c>
      <c r="R30" s="316"/>
    </row>
    <row r="31" spans="2:18" x14ac:dyDescent="0.25">
      <c r="L31" s="130">
        <v>24</v>
      </c>
      <c r="M31" s="131" t="s">
        <v>554</v>
      </c>
      <c r="N31" s="131" t="s">
        <v>593</v>
      </c>
      <c r="O31" s="92">
        <v>198</v>
      </c>
      <c r="P31" s="317">
        <v>44736</v>
      </c>
      <c r="R31" s="316"/>
    </row>
    <row r="32" spans="2:18" x14ac:dyDescent="0.25">
      <c r="F32" s="73" t="s">
        <v>550</v>
      </c>
      <c r="L32" s="130">
        <v>25</v>
      </c>
      <c r="M32" s="131" t="s">
        <v>555</v>
      </c>
      <c r="N32" s="131" t="s">
        <v>627</v>
      </c>
      <c r="O32" s="92">
        <v>273</v>
      </c>
      <c r="P32" s="317">
        <v>45265</v>
      </c>
      <c r="R32" s="316"/>
    </row>
    <row r="33" spans="12:18" x14ac:dyDescent="0.25">
      <c r="L33" s="130">
        <v>26</v>
      </c>
      <c r="M33" s="131" t="s">
        <v>556</v>
      </c>
      <c r="N33" s="131" t="s">
        <v>595</v>
      </c>
      <c r="O33" s="92">
        <v>540</v>
      </c>
      <c r="P33" s="317">
        <v>43864</v>
      </c>
      <c r="R33" s="316"/>
    </row>
    <row r="34" spans="12:18" x14ac:dyDescent="0.25">
      <c r="L34" s="130">
        <v>27</v>
      </c>
      <c r="M34" s="131" t="s">
        <v>554</v>
      </c>
      <c r="N34" s="131" t="s">
        <v>596</v>
      </c>
      <c r="O34" s="92">
        <v>121</v>
      </c>
      <c r="P34" s="317">
        <v>44319</v>
      </c>
      <c r="R34" s="316"/>
    </row>
    <row r="35" spans="12:18" x14ac:dyDescent="0.25">
      <c r="L35" s="130">
        <v>28</v>
      </c>
      <c r="M35" s="131" t="s">
        <v>554</v>
      </c>
      <c r="N35" s="131" t="s">
        <v>597</v>
      </c>
      <c r="O35" s="92">
        <v>268</v>
      </c>
      <c r="P35" s="317">
        <v>44621</v>
      </c>
      <c r="R35" s="316"/>
    </row>
    <row r="36" spans="12:18" x14ac:dyDescent="0.25">
      <c r="L36" s="130">
        <v>29</v>
      </c>
      <c r="M36" s="131" t="s">
        <v>556</v>
      </c>
      <c r="N36" s="131" t="s">
        <v>598</v>
      </c>
      <c r="O36" s="92">
        <v>481</v>
      </c>
      <c r="P36" s="317">
        <v>44472</v>
      </c>
      <c r="R36" s="316"/>
    </row>
    <row r="37" spans="12:18" x14ac:dyDescent="0.25">
      <c r="L37" s="130">
        <v>30</v>
      </c>
      <c r="M37" s="131" t="s">
        <v>556</v>
      </c>
      <c r="N37" s="131" t="s">
        <v>594</v>
      </c>
      <c r="O37" s="92">
        <v>155</v>
      </c>
      <c r="P37" s="317">
        <v>44236</v>
      </c>
      <c r="R37" s="316"/>
    </row>
    <row r="38" spans="12:18" x14ac:dyDescent="0.25">
      <c r="L38" s="130">
        <v>31</v>
      </c>
      <c r="M38" s="131" t="s">
        <v>556</v>
      </c>
      <c r="N38" s="131" t="s">
        <v>599</v>
      </c>
      <c r="O38" s="92">
        <v>98</v>
      </c>
      <c r="P38" s="317">
        <v>43943</v>
      </c>
      <c r="R38" s="316"/>
    </row>
    <row r="39" spans="12:18" x14ac:dyDescent="0.25">
      <c r="L39" s="130">
        <v>32</v>
      </c>
      <c r="M39" s="131" t="s">
        <v>554</v>
      </c>
      <c r="N39" s="131" t="s">
        <v>600</v>
      </c>
      <c r="O39" s="92">
        <v>121</v>
      </c>
      <c r="P39" s="317">
        <v>44279</v>
      </c>
      <c r="R39" s="316"/>
    </row>
    <row r="40" spans="12:18" x14ac:dyDescent="0.25">
      <c r="L40" s="130">
        <v>33</v>
      </c>
      <c r="M40" s="131" t="s">
        <v>556</v>
      </c>
      <c r="N40" s="131" t="s">
        <v>601</v>
      </c>
      <c r="O40" s="92">
        <v>108</v>
      </c>
      <c r="P40" s="317">
        <v>44635</v>
      </c>
      <c r="R40" s="316"/>
    </row>
    <row r="41" spans="12:18" x14ac:dyDescent="0.25">
      <c r="L41" s="130">
        <v>34</v>
      </c>
      <c r="M41" s="131" t="s">
        <v>556</v>
      </c>
      <c r="N41" s="131" t="s">
        <v>602</v>
      </c>
      <c r="O41" s="92">
        <v>249</v>
      </c>
      <c r="P41" s="317">
        <v>44419</v>
      </c>
      <c r="R41" s="316"/>
    </row>
    <row r="42" spans="12:18" x14ac:dyDescent="0.25">
      <c r="L42" s="130">
        <v>35</v>
      </c>
      <c r="M42" s="131" t="s">
        <v>554</v>
      </c>
      <c r="N42" s="131" t="s">
        <v>603</v>
      </c>
      <c r="O42" s="92">
        <v>272</v>
      </c>
      <c r="P42" s="317">
        <v>43992</v>
      </c>
      <c r="R42" s="316"/>
    </row>
    <row r="43" spans="12:18" x14ac:dyDescent="0.25">
      <c r="L43" s="130">
        <v>36</v>
      </c>
      <c r="M43" s="131" t="s">
        <v>554</v>
      </c>
      <c r="N43" s="131" t="s">
        <v>604</v>
      </c>
      <c r="O43" s="92">
        <v>92</v>
      </c>
      <c r="P43" s="317">
        <v>44458</v>
      </c>
      <c r="R43" s="316"/>
    </row>
    <row r="44" spans="12:18" x14ac:dyDescent="0.25">
      <c r="L44" s="130">
        <v>37</v>
      </c>
      <c r="M44" s="131" t="s">
        <v>555</v>
      </c>
      <c r="N44" s="131" t="s">
        <v>605</v>
      </c>
      <c r="O44" s="92">
        <v>74</v>
      </c>
      <c r="P44" s="317">
        <v>44012</v>
      </c>
      <c r="R44" s="316"/>
    </row>
    <row r="45" spans="12:18" x14ac:dyDescent="0.25">
      <c r="L45" s="130">
        <v>38</v>
      </c>
      <c r="M45" s="131" t="s">
        <v>555</v>
      </c>
      <c r="N45" s="131" t="s">
        <v>606</v>
      </c>
      <c r="O45" s="92">
        <v>432</v>
      </c>
      <c r="P45" s="317">
        <v>44824</v>
      </c>
      <c r="R45" s="316"/>
    </row>
    <row r="46" spans="12:18" x14ac:dyDescent="0.25">
      <c r="L46" s="130">
        <v>39</v>
      </c>
      <c r="M46" s="131" t="s">
        <v>556</v>
      </c>
      <c r="N46" s="131" t="s">
        <v>607</v>
      </c>
      <c r="O46" s="92">
        <v>182</v>
      </c>
      <c r="P46" s="317">
        <v>44017</v>
      </c>
      <c r="R46" s="316"/>
    </row>
    <row r="47" spans="12:18" x14ac:dyDescent="0.25">
      <c r="L47" s="130">
        <v>40</v>
      </c>
      <c r="M47" s="131" t="s">
        <v>556</v>
      </c>
      <c r="N47" s="131" t="s">
        <v>608</v>
      </c>
      <c r="O47" s="92">
        <v>95</v>
      </c>
      <c r="P47" s="317">
        <v>45132</v>
      </c>
      <c r="R47" s="316"/>
    </row>
    <row r="48" spans="12:18" x14ac:dyDescent="0.25">
      <c r="L48" s="130">
        <v>41</v>
      </c>
      <c r="M48" s="131" t="s">
        <v>555</v>
      </c>
      <c r="N48" s="131" t="s">
        <v>609</v>
      </c>
      <c r="O48" s="92">
        <v>100</v>
      </c>
      <c r="P48" s="317">
        <v>44232</v>
      </c>
      <c r="R48" s="316"/>
    </row>
    <row r="49" spans="12:18" x14ac:dyDescent="0.25">
      <c r="L49" s="130">
        <v>42</v>
      </c>
      <c r="M49" s="131" t="s">
        <v>554</v>
      </c>
      <c r="N49" s="131" t="s">
        <v>610</v>
      </c>
      <c r="O49" s="92">
        <v>72</v>
      </c>
      <c r="P49" s="317">
        <v>44468</v>
      </c>
      <c r="R49" s="316"/>
    </row>
    <row r="50" spans="12:18" x14ac:dyDescent="0.25">
      <c r="L50" s="130">
        <v>43</v>
      </c>
      <c r="M50" s="131" t="s">
        <v>556</v>
      </c>
      <c r="N50" s="131" t="s">
        <v>611</v>
      </c>
      <c r="O50" s="92">
        <v>91</v>
      </c>
      <c r="P50" s="317">
        <v>44349</v>
      </c>
      <c r="R50" s="316"/>
    </row>
    <row r="51" spans="12:18" x14ac:dyDescent="0.25">
      <c r="L51" s="130">
        <v>44</v>
      </c>
      <c r="M51" s="131" t="s">
        <v>554</v>
      </c>
      <c r="N51" s="131" t="s">
        <v>612</v>
      </c>
      <c r="O51" s="92">
        <v>123</v>
      </c>
      <c r="P51" s="317">
        <v>45045</v>
      </c>
      <c r="R51" s="316"/>
    </row>
    <row r="52" spans="12:18" x14ac:dyDescent="0.25">
      <c r="L52" s="130">
        <v>45</v>
      </c>
      <c r="M52" s="131" t="s">
        <v>554</v>
      </c>
      <c r="N52" s="131" t="s">
        <v>613</v>
      </c>
      <c r="O52" s="92">
        <v>186</v>
      </c>
      <c r="P52" s="317">
        <v>44587</v>
      </c>
      <c r="R52" s="316"/>
    </row>
    <row r="53" spans="12:18" x14ac:dyDescent="0.25">
      <c r="L53" s="130">
        <v>46</v>
      </c>
      <c r="M53" s="131" t="s">
        <v>556</v>
      </c>
      <c r="N53" s="131" t="s">
        <v>614</v>
      </c>
      <c r="O53" s="92">
        <v>165</v>
      </c>
      <c r="P53" s="317">
        <v>44883</v>
      </c>
      <c r="R53" s="316"/>
    </row>
    <row r="54" spans="12:18" x14ac:dyDescent="0.25">
      <c r="L54" s="130">
        <v>47</v>
      </c>
      <c r="M54" s="131" t="s">
        <v>555</v>
      </c>
      <c r="N54" s="131" t="s">
        <v>615</v>
      </c>
      <c r="O54" s="92">
        <v>60</v>
      </c>
      <c r="P54" s="317">
        <v>44239</v>
      </c>
      <c r="R54" s="316"/>
    </row>
    <row r="55" spans="12:18" x14ac:dyDescent="0.25">
      <c r="L55" s="130">
        <v>48</v>
      </c>
      <c r="M55" s="131" t="s">
        <v>556</v>
      </c>
      <c r="N55" s="131" t="s">
        <v>616</v>
      </c>
      <c r="O55" s="92">
        <v>325</v>
      </c>
      <c r="P55" s="317">
        <v>44765</v>
      </c>
      <c r="R55" s="316"/>
    </row>
    <row r="56" spans="12:18" x14ac:dyDescent="0.25">
      <c r="L56" s="130">
        <v>49</v>
      </c>
      <c r="M56" s="131" t="s">
        <v>556</v>
      </c>
      <c r="N56" s="131" t="s">
        <v>617</v>
      </c>
      <c r="O56" s="92">
        <v>143</v>
      </c>
      <c r="P56" s="317">
        <v>44209</v>
      </c>
      <c r="R56" s="316"/>
    </row>
    <row r="57" spans="12:18" x14ac:dyDescent="0.25">
      <c r="L57" s="130">
        <v>50</v>
      </c>
      <c r="M57" s="131" t="s">
        <v>556</v>
      </c>
      <c r="N57" s="131" t="s">
        <v>618</v>
      </c>
      <c r="O57" s="92">
        <v>67</v>
      </c>
      <c r="P57" s="317">
        <v>44430</v>
      </c>
      <c r="R57" s="316"/>
    </row>
    <row r="58" spans="12:18" x14ac:dyDescent="0.25">
      <c r="L58" s="130">
        <v>51</v>
      </c>
      <c r="M58" s="131" t="s">
        <v>554</v>
      </c>
      <c r="N58" s="131" t="s">
        <v>619</v>
      </c>
      <c r="O58" s="92">
        <v>76</v>
      </c>
      <c r="P58" s="317">
        <v>44724</v>
      </c>
      <c r="R58" s="316"/>
    </row>
    <row r="59" spans="12:18" x14ac:dyDescent="0.25">
      <c r="L59" s="130">
        <v>52</v>
      </c>
      <c r="M59" s="131" t="s">
        <v>554</v>
      </c>
      <c r="N59" s="131" t="s">
        <v>620</v>
      </c>
      <c r="O59" s="92">
        <v>102</v>
      </c>
      <c r="P59" s="317">
        <v>43853</v>
      </c>
      <c r="R59" s="316"/>
    </row>
    <row r="60" spans="12:18" x14ac:dyDescent="0.25">
      <c r="L60" s="130">
        <v>53</v>
      </c>
      <c r="M60" s="131" t="s">
        <v>556</v>
      </c>
      <c r="N60" s="131" t="s">
        <v>621</v>
      </c>
      <c r="O60" s="92">
        <v>64</v>
      </c>
      <c r="P60" s="317">
        <v>44978</v>
      </c>
      <c r="R60" s="316"/>
    </row>
    <row r="61" spans="12:18" x14ac:dyDescent="0.25">
      <c r="L61" s="130">
        <v>54</v>
      </c>
      <c r="M61" s="131" t="s">
        <v>555</v>
      </c>
      <c r="N61" s="131" t="s">
        <v>622</v>
      </c>
      <c r="O61" s="92">
        <v>53</v>
      </c>
      <c r="P61" s="317">
        <v>44447</v>
      </c>
      <c r="R61" s="316"/>
    </row>
    <row r="62" spans="12:18" x14ac:dyDescent="0.25">
      <c r="L62" s="130">
        <v>55</v>
      </c>
      <c r="M62" s="131" t="s">
        <v>555</v>
      </c>
      <c r="N62" s="131" t="s">
        <v>623</v>
      </c>
      <c r="O62" s="92">
        <v>93</v>
      </c>
      <c r="P62" s="317">
        <v>45201</v>
      </c>
      <c r="R62" s="316"/>
    </row>
    <row r="63" spans="12:18" x14ac:dyDescent="0.25">
      <c r="L63" s="130">
        <v>56</v>
      </c>
      <c r="M63" s="131" t="s">
        <v>556</v>
      </c>
      <c r="N63" s="131" t="s">
        <v>624</v>
      </c>
      <c r="O63" s="92">
        <v>109</v>
      </c>
      <c r="P63" s="317">
        <v>45261</v>
      </c>
      <c r="R63" s="316"/>
    </row>
    <row r="64" spans="12:18" x14ac:dyDescent="0.25">
      <c r="L64" s="130">
        <v>57</v>
      </c>
      <c r="M64" s="131" t="s">
        <v>554</v>
      </c>
      <c r="N64" s="131" t="s">
        <v>625</v>
      </c>
      <c r="O64" s="92">
        <v>110</v>
      </c>
      <c r="P64" s="317">
        <v>44263</v>
      </c>
      <c r="R64" s="316"/>
    </row>
    <row r="65" spans="2:18" x14ac:dyDescent="0.25">
      <c r="L65" s="132">
        <v>58</v>
      </c>
      <c r="M65" s="133" t="s">
        <v>554</v>
      </c>
      <c r="N65" s="133" t="s">
        <v>626</v>
      </c>
      <c r="O65" s="252">
        <v>285</v>
      </c>
      <c r="P65" s="318">
        <v>44751</v>
      </c>
      <c r="R65" s="316"/>
    </row>
    <row r="67" spans="2:18" ht="15.75" x14ac:dyDescent="0.25">
      <c r="N67" s="315" t="s">
        <v>552</v>
      </c>
      <c r="O67" s="93"/>
    </row>
    <row r="71" spans="2:18" ht="15.75" thickBot="1" x14ac:dyDescent="0.3"/>
    <row r="72" spans="2:18" x14ac:dyDescent="0.25">
      <c r="B72" s="56"/>
      <c r="C72" s="56"/>
      <c r="D72" s="56"/>
      <c r="E72" s="56"/>
      <c r="F72" s="56"/>
      <c r="G72" s="56"/>
      <c r="H72" s="56"/>
      <c r="I72" s="56"/>
      <c r="J72" s="56"/>
      <c r="K72" s="56"/>
      <c r="L72" s="56"/>
      <c r="M72" s="56"/>
      <c r="N72" s="56"/>
      <c r="O72" s="56"/>
    </row>
    <row r="73" spans="2:18" ht="32.1" customHeight="1" x14ac:dyDescent="0.25"/>
    <row r="74" spans="2:18" ht="32.1" customHeight="1" x14ac:dyDescent="0.25"/>
    <row r="75" spans="2:18" ht="32.1" customHeight="1" x14ac:dyDescent="0.25"/>
    <row r="76" spans="2:18" ht="32.1" customHeight="1" x14ac:dyDescent="0.25"/>
    <row r="77" spans="2:18" ht="32.1" customHeight="1" x14ac:dyDescent="0.25"/>
    <row r="78" spans="2:18" ht="32.1" customHeight="1" x14ac:dyDescent="0.25"/>
    <row r="79" spans="2:18" ht="32.1" customHeight="1" x14ac:dyDescent="0.25"/>
  </sheetData>
  <mergeCells count="4">
    <mergeCell ref="B3:K3"/>
    <mergeCell ref="L3:U3"/>
    <mergeCell ref="B6:F6"/>
    <mergeCell ref="L6:P6"/>
  </mergeCells>
  <conditionalFormatting sqref="D13:D21">
    <cfRule type="containsText" dxfId="31" priority="2" operator="containsText" text="J">
      <formula>NOT(ISERROR(SEARCH("J",D13)))</formula>
    </cfRule>
  </conditionalFormatting>
  <conditionalFormatting sqref="E8:E21">
    <cfRule type="dataBar" priority="13">
      <dataBar>
        <cfvo type="min"/>
        <cfvo type="max"/>
        <color rgb="FF63C384"/>
      </dataBar>
      <extLst>
        <ext xmlns:x14="http://schemas.microsoft.com/office/spreadsheetml/2009/9/main" uri="{B025F937-C7B1-47D3-B67F-A62EFF666E3E}">
          <x14:id>{D592031C-E980-46ED-AE9F-774B0D45E53E}</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92031C-E980-46ED-AE9F-774B0D45E53E}">
            <x14:dataBar minLength="0" maxLength="100" border="1" negativeBarBorderColorSameAsPositive="0">
              <x14:cfvo type="autoMin"/>
              <x14:cfvo type="autoMax"/>
              <x14:borderColor rgb="FF63C384"/>
              <x14:negativeFillColor rgb="FFFF0000"/>
              <x14:negativeBorderColor rgb="FFFF0000"/>
              <x14:axisColor rgb="FF000000"/>
            </x14:dataBar>
          </x14:cfRule>
          <xm:sqref>E8:E21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8EC3E-53F8-4E80-B283-B7C8DDB3261F}">
  <sheetPr codeName="Sheet32">
    <tabColor theme="1" tint="0.499984740745262"/>
  </sheetPr>
  <dimension ref="A1:U39"/>
  <sheetViews>
    <sheetView workbookViewId="0">
      <pane xSplit="1" ySplit="3" topLeftCell="B4" activePane="bottomRight" state="frozen"/>
      <selection activeCell="B4" sqref="B4:D4"/>
      <selection pane="topRight" activeCell="B4" sqref="B4:D4"/>
      <selection pane="bottomLeft" activeCell="B4" sqref="B4:D4"/>
      <selection pane="bottomRight" activeCell="J13" sqref="J13"/>
    </sheetView>
  </sheetViews>
  <sheetFormatPr defaultRowHeight="15" x14ac:dyDescent="0.25"/>
  <cols>
    <col min="1" max="1" width="7.7109375" customWidth="1"/>
    <col min="2" max="2" width="11.7109375" customWidth="1"/>
    <col min="3" max="6" width="9.7109375" customWidth="1"/>
    <col min="7" max="8" width="11.7109375" customWidth="1"/>
    <col min="9" max="9" width="14.7109375" customWidth="1"/>
    <col min="10" max="10" width="10.7109375" bestFit="1" customWidth="1"/>
    <col min="12" max="12" width="14.7109375" customWidth="1"/>
    <col min="13" max="13" width="10.7109375" customWidth="1"/>
  </cols>
  <sheetData>
    <row r="1" spans="1:21" ht="18.75" x14ac:dyDescent="0.3">
      <c r="B1" s="55" t="s">
        <v>105</v>
      </c>
    </row>
    <row r="2" spans="1:21" x14ac:dyDescent="0.25">
      <c r="B2">
        <v>11</v>
      </c>
      <c r="C2">
        <v>9</v>
      </c>
      <c r="D2">
        <v>9</v>
      </c>
      <c r="E2">
        <v>9</v>
      </c>
      <c r="F2">
        <v>9</v>
      </c>
      <c r="G2">
        <v>11</v>
      </c>
      <c r="H2">
        <v>11</v>
      </c>
      <c r="I2">
        <v>14</v>
      </c>
      <c r="L2">
        <v>14</v>
      </c>
      <c r="M2">
        <v>10</v>
      </c>
      <c r="O2" t="s">
        <v>149</v>
      </c>
      <c r="P2" t="s">
        <v>150</v>
      </c>
    </row>
    <row r="3" spans="1:21" x14ac:dyDescent="0.25">
      <c r="B3" s="416" t="s">
        <v>546</v>
      </c>
      <c r="C3" s="417"/>
      <c r="D3" s="417"/>
      <c r="E3" s="417"/>
      <c r="F3" s="417"/>
      <c r="G3" s="417"/>
      <c r="H3" s="417"/>
      <c r="I3" s="417"/>
      <c r="J3" s="417"/>
      <c r="K3" s="417"/>
      <c r="L3" s="418" t="s">
        <v>638</v>
      </c>
      <c r="M3" s="419"/>
      <c r="N3" s="419"/>
      <c r="O3" s="419"/>
      <c r="P3" s="419"/>
      <c r="Q3" s="419"/>
      <c r="R3" s="419"/>
      <c r="S3" s="419"/>
      <c r="T3" s="419"/>
      <c r="U3" s="419"/>
    </row>
    <row r="4" spans="1:21" ht="21" x14ac:dyDescent="0.35">
      <c r="A4">
        <v>21</v>
      </c>
      <c r="B4" s="81" t="s">
        <v>144</v>
      </c>
      <c r="C4" s="81"/>
      <c r="D4" s="81"/>
      <c r="L4" s="81" t="s">
        <v>144</v>
      </c>
      <c r="M4" s="82"/>
    </row>
    <row r="5" spans="1:21" ht="18.75" x14ac:dyDescent="0.3">
      <c r="A5">
        <v>18</v>
      </c>
      <c r="C5" s="78"/>
      <c r="D5" s="78"/>
      <c r="E5" s="78"/>
      <c r="F5" s="78"/>
      <c r="G5" s="78"/>
      <c r="I5" s="79" t="s">
        <v>647</v>
      </c>
      <c r="L5" s="83" t="s">
        <v>646</v>
      </c>
    </row>
    <row r="6" spans="1:21" x14ac:dyDescent="0.25">
      <c r="B6" s="120" t="s">
        <v>648</v>
      </c>
      <c r="C6" s="124" t="s">
        <v>545</v>
      </c>
      <c r="D6" s="124" t="s">
        <v>656</v>
      </c>
      <c r="E6" s="124" t="s">
        <v>649</v>
      </c>
      <c r="F6" s="124" t="s">
        <v>645</v>
      </c>
      <c r="G6" s="124" t="s">
        <v>650</v>
      </c>
      <c r="H6" s="124" t="s">
        <v>651</v>
      </c>
      <c r="I6" s="121" t="s">
        <v>549</v>
      </c>
      <c r="J6" s="80"/>
      <c r="L6" s="120" t="s">
        <v>649</v>
      </c>
      <c r="M6" s="121" t="s">
        <v>645</v>
      </c>
    </row>
    <row r="7" spans="1:21" x14ac:dyDescent="0.25">
      <c r="B7" s="254">
        <v>45506</v>
      </c>
      <c r="C7" s="125" t="s">
        <v>145</v>
      </c>
      <c r="D7" s="125" t="s">
        <v>554</v>
      </c>
      <c r="E7" s="125" t="s">
        <v>654</v>
      </c>
      <c r="F7" s="125">
        <v>44</v>
      </c>
      <c r="G7" s="125">
        <v>120</v>
      </c>
      <c r="H7" s="125">
        <f>P6_backup!$G7*P6_backup!$F7</f>
        <v>5280</v>
      </c>
      <c r="I7" s="144"/>
      <c r="J7" s="80"/>
      <c r="L7" s="122" t="s">
        <v>654</v>
      </c>
      <c r="M7" s="144">
        <f>SUMIFS(F7:F21,E7:E21,L7)</f>
        <v>412</v>
      </c>
    </row>
    <row r="8" spans="1:21" x14ac:dyDescent="0.25">
      <c r="B8" s="254">
        <v>45552</v>
      </c>
      <c r="C8" s="125" t="s">
        <v>146</v>
      </c>
      <c r="D8" s="125" t="s">
        <v>554</v>
      </c>
      <c r="E8" s="125" t="s">
        <v>653</v>
      </c>
      <c r="F8" s="125">
        <v>57</v>
      </c>
      <c r="G8" s="125">
        <v>40</v>
      </c>
      <c r="H8" s="125">
        <f>P6_backup!$G8*P6_backup!$F8</f>
        <v>2280</v>
      </c>
      <c r="I8" s="144"/>
      <c r="L8" s="122" t="s">
        <v>653</v>
      </c>
      <c r="M8" s="144">
        <f t="shared" ref="M8:M10" si="0">SUMIFS(F8:F22,E8:E22,L8)</f>
        <v>264</v>
      </c>
    </row>
    <row r="9" spans="1:21" x14ac:dyDescent="0.25">
      <c r="B9" s="254">
        <v>45593</v>
      </c>
      <c r="C9" s="125" t="s">
        <v>146</v>
      </c>
      <c r="D9" s="125" t="s">
        <v>554</v>
      </c>
      <c r="E9" s="125" t="s">
        <v>654</v>
      </c>
      <c r="F9" s="125">
        <v>56</v>
      </c>
      <c r="G9" s="125">
        <v>120</v>
      </c>
      <c r="H9" s="125">
        <f>P6_backup!$G9*P6_backup!$F9</f>
        <v>6720</v>
      </c>
      <c r="I9" s="144"/>
      <c r="L9" s="122" t="s">
        <v>652</v>
      </c>
      <c r="M9" s="144">
        <f t="shared" si="0"/>
        <v>70</v>
      </c>
    </row>
    <row r="10" spans="1:21" x14ac:dyDescent="0.25">
      <c r="B10" s="254">
        <v>45566</v>
      </c>
      <c r="C10" s="125" t="s">
        <v>146</v>
      </c>
      <c r="D10" s="125" t="s">
        <v>555</v>
      </c>
      <c r="E10" s="125" t="s">
        <v>652</v>
      </c>
      <c r="F10" s="125">
        <v>70</v>
      </c>
      <c r="G10" s="125">
        <v>345</v>
      </c>
      <c r="H10" s="125">
        <f>P6_backup!$G10*P6_backup!$F10</f>
        <v>24150</v>
      </c>
      <c r="I10" s="144"/>
      <c r="L10" s="123" t="s">
        <v>655</v>
      </c>
      <c r="M10" s="144">
        <f t="shared" si="0"/>
        <v>36</v>
      </c>
    </row>
    <row r="11" spans="1:21" x14ac:dyDescent="0.25">
      <c r="B11" s="254">
        <v>45571</v>
      </c>
      <c r="C11" s="125" t="s">
        <v>147</v>
      </c>
      <c r="D11" s="125" t="s">
        <v>555</v>
      </c>
      <c r="E11" s="125" t="s">
        <v>654</v>
      </c>
      <c r="F11" s="125">
        <v>75</v>
      </c>
      <c r="G11" s="125">
        <v>120</v>
      </c>
      <c r="H11" s="125">
        <f>P6_backup!$G11*P6_backup!$F11</f>
        <v>9000</v>
      </c>
      <c r="I11" s="144"/>
    </row>
    <row r="12" spans="1:21" x14ac:dyDescent="0.25">
      <c r="B12" s="254">
        <v>45558</v>
      </c>
      <c r="C12" s="125" t="s">
        <v>145</v>
      </c>
      <c r="D12" s="125" t="s">
        <v>554</v>
      </c>
      <c r="E12" s="125" t="s">
        <v>653</v>
      </c>
      <c r="F12" s="125">
        <v>59</v>
      </c>
      <c r="G12" s="125">
        <v>40</v>
      </c>
      <c r="H12" s="125">
        <f>P6_backup!$G12*P6_backup!$F12</f>
        <v>2360</v>
      </c>
      <c r="I12" s="144"/>
    </row>
    <row r="13" spans="1:21" x14ac:dyDescent="0.25">
      <c r="B13" s="254">
        <v>45514</v>
      </c>
      <c r="C13" s="125" t="s">
        <v>146</v>
      </c>
      <c r="D13" s="125" t="s">
        <v>555</v>
      </c>
      <c r="E13" s="125" t="s">
        <v>654</v>
      </c>
      <c r="F13" s="125">
        <v>68</v>
      </c>
      <c r="G13" s="125">
        <v>120</v>
      </c>
      <c r="H13" s="125">
        <f>P6_backup!$G13*P6_backup!$F13</f>
        <v>8160</v>
      </c>
      <c r="I13" s="144"/>
    </row>
    <row r="14" spans="1:21" x14ac:dyDescent="0.25">
      <c r="B14" s="254">
        <v>45475</v>
      </c>
      <c r="C14" s="125" t="s">
        <v>146</v>
      </c>
      <c r="D14" s="125" t="s">
        <v>554</v>
      </c>
      <c r="E14" s="125" t="s">
        <v>654</v>
      </c>
      <c r="F14" s="125">
        <v>59</v>
      </c>
      <c r="G14" s="125">
        <v>120</v>
      </c>
      <c r="H14" s="125">
        <f>P6_backup!$G14*P6_backup!$F14</f>
        <v>7080</v>
      </c>
      <c r="I14" s="144"/>
    </row>
    <row r="15" spans="1:21" x14ac:dyDescent="0.25">
      <c r="B15" s="254">
        <v>45463</v>
      </c>
      <c r="C15" s="125" t="s">
        <v>147</v>
      </c>
      <c r="D15" s="125" t="s">
        <v>555</v>
      </c>
      <c r="E15" s="125" t="s">
        <v>654</v>
      </c>
      <c r="F15" s="125">
        <v>33</v>
      </c>
      <c r="G15" s="125">
        <v>120</v>
      </c>
      <c r="H15" s="125">
        <f>P6_backup!$G15*P6_backup!$F15</f>
        <v>3960</v>
      </c>
      <c r="I15" s="144"/>
    </row>
    <row r="16" spans="1:21" x14ac:dyDescent="0.25">
      <c r="B16" s="254">
        <v>45500</v>
      </c>
      <c r="C16" s="125" t="s">
        <v>145</v>
      </c>
      <c r="D16" s="125" t="s">
        <v>554</v>
      </c>
      <c r="E16" s="125" t="s">
        <v>653</v>
      </c>
      <c r="F16" s="125">
        <v>31</v>
      </c>
      <c r="G16" s="125">
        <v>40</v>
      </c>
      <c r="H16" s="125">
        <f>P6_backup!$G16*P6_backup!$F16</f>
        <v>1240</v>
      </c>
      <c r="I16" s="144"/>
    </row>
    <row r="17" spans="2:15" x14ac:dyDescent="0.25">
      <c r="B17" s="254">
        <v>45470</v>
      </c>
      <c r="C17" s="125" t="s">
        <v>146</v>
      </c>
      <c r="D17" s="125" t="s">
        <v>555</v>
      </c>
      <c r="E17" s="125" t="s">
        <v>654</v>
      </c>
      <c r="F17" s="125">
        <v>36</v>
      </c>
      <c r="G17" s="125">
        <v>120</v>
      </c>
      <c r="H17" s="125">
        <f>P6_backup!$G17*P6_backup!$F17</f>
        <v>4320</v>
      </c>
      <c r="I17" s="144"/>
    </row>
    <row r="18" spans="2:15" x14ac:dyDescent="0.25">
      <c r="B18" s="254">
        <v>45495</v>
      </c>
      <c r="C18" s="125" t="s">
        <v>145</v>
      </c>
      <c r="D18" s="125" t="s">
        <v>657</v>
      </c>
      <c r="E18" s="125" t="s">
        <v>653</v>
      </c>
      <c r="F18" s="125">
        <v>66</v>
      </c>
      <c r="G18" s="125">
        <v>40</v>
      </c>
      <c r="H18" s="125">
        <f>P6_backup!$G18*P6_backup!$F18</f>
        <v>2640</v>
      </c>
      <c r="I18" s="144"/>
    </row>
    <row r="19" spans="2:15" x14ac:dyDescent="0.25">
      <c r="B19" s="254">
        <v>45445</v>
      </c>
      <c r="C19" s="125" t="s">
        <v>145</v>
      </c>
      <c r="D19" s="125" t="s">
        <v>657</v>
      </c>
      <c r="E19" s="125" t="s">
        <v>653</v>
      </c>
      <c r="F19" s="125">
        <v>51</v>
      </c>
      <c r="G19" s="125">
        <v>40</v>
      </c>
      <c r="H19" s="125">
        <f>P6_backup!$G19*P6_backup!$F19</f>
        <v>2040</v>
      </c>
      <c r="I19" s="144"/>
    </row>
    <row r="20" spans="2:15" x14ac:dyDescent="0.25">
      <c r="B20" s="254">
        <v>45476</v>
      </c>
      <c r="C20" s="125" t="s">
        <v>145</v>
      </c>
      <c r="D20" s="125" t="s">
        <v>554</v>
      </c>
      <c r="E20" s="125" t="s">
        <v>654</v>
      </c>
      <c r="F20" s="125">
        <v>41</v>
      </c>
      <c r="G20" s="125">
        <v>120</v>
      </c>
      <c r="H20" s="125">
        <f>P6_backup!$G20*P6_backup!$F20</f>
        <v>4920</v>
      </c>
      <c r="I20" s="144"/>
    </row>
    <row r="21" spans="2:15" x14ac:dyDescent="0.25">
      <c r="B21" s="255">
        <v>45560</v>
      </c>
      <c r="C21" s="126" t="s">
        <v>146</v>
      </c>
      <c r="D21" s="126" t="s">
        <v>657</v>
      </c>
      <c r="E21" s="126" t="s">
        <v>655</v>
      </c>
      <c r="F21" s="126">
        <v>36</v>
      </c>
      <c r="G21" s="125">
        <v>185</v>
      </c>
      <c r="H21" s="126">
        <f>P6_backup!$G21*P6_backup!$F21</f>
        <v>6660</v>
      </c>
      <c r="I21" s="144"/>
    </row>
    <row r="23" spans="2:15" x14ac:dyDescent="0.25">
      <c r="B23" s="284">
        <v>0.1</v>
      </c>
    </row>
    <row r="31" spans="2:15" ht="15.75" thickBot="1" x14ac:dyDescent="0.3"/>
    <row r="32" spans="2:15" x14ac:dyDescent="0.25">
      <c r="B32" s="56"/>
      <c r="C32" s="56"/>
      <c r="D32" s="56"/>
      <c r="E32" s="56"/>
      <c r="F32" s="56"/>
      <c r="G32" s="56"/>
      <c r="H32" s="56"/>
      <c r="I32" s="56"/>
      <c r="J32" s="56"/>
      <c r="K32" s="56"/>
      <c r="L32" s="56"/>
      <c r="M32" s="56"/>
      <c r="N32" s="56"/>
      <c r="O32" s="56"/>
    </row>
    <row r="33" ht="32.1" customHeight="1" x14ac:dyDescent="0.25"/>
    <row r="34" ht="32.1" customHeight="1" x14ac:dyDescent="0.25"/>
    <row r="35" ht="32.1" customHeight="1" x14ac:dyDescent="0.25"/>
    <row r="36" ht="32.1" customHeight="1" x14ac:dyDescent="0.25"/>
    <row r="37" ht="32.1" customHeight="1" x14ac:dyDescent="0.25"/>
    <row r="38" ht="32.1" customHeight="1" x14ac:dyDescent="0.25"/>
    <row r="39" ht="32.1" customHeight="1" x14ac:dyDescent="0.25"/>
  </sheetData>
  <mergeCells count="2">
    <mergeCell ref="B3:K3"/>
    <mergeCell ref="L3:U3"/>
  </mergeCells>
  <phoneticPr fontId="22"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AF16E-4689-4633-8A57-9F175B095E8C}">
  <sheetPr codeName="Sheet_DB">
    <tabColor rgb="FFFF0000"/>
  </sheetPr>
  <dimension ref="A1:P46"/>
  <sheetViews>
    <sheetView workbookViewId="0">
      <pane ySplit="2" topLeftCell="A21" activePane="bottomLeft" state="frozen"/>
      <selection pane="bottomLeft" activeCell="B27" sqref="B27"/>
    </sheetView>
  </sheetViews>
  <sheetFormatPr defaultRowHeight="15" x14ac:dyDescent="0.25"/>
  <cols>
    <col min="1" max="1" width="9.140625" style="7"/>
    <col min="2" max="2" width="106.42578125" style="7" customWidth="1"/>
    <col min="3" max="3" width="18" style="104" customWidth="1"/>
    <col min="4" max="5" width="11.28515625" style="104" customWidth="1"/>
    <col min="6" max="6" width="12.85546875" style="7" customWidth="1"/>
    <col min="7" max="7" width="15" style="7" customWidth="1"/>
    <col min="8" max="8" width="14" style="7" customWidth="1"/>
    <col min="9" max="16384" width="9.140625" style="7"/>
  </cols>
  <sheetData>
    <row r="1" spans="1:16" ht="18" customHeight="1" x14ac:dyDescent="0.25"/>
    <row r="2" spans="1:16" ht="18" customHeight="1" x14ac:dyDescent="0.25">
      <c r="A2" s="295" t="s">
        <v>475</v>
      </c>
      <c r="B2" s="295" t="s">
        <v>47</v>
      </c>
      <c r="C2" s="296" t="s">
        <v>476</v>
      </c>
      <c r="D2" s="296" t="s">
        <v>477</v>
      </c>
      <c r="E2" s="296" t="s">
        <v>488</v>
      </c>
      <c r="F2" s="296" t="s">
        <v>478</v>
      </c>
      <c r="G2" s="296" t="s">
        <v>479</v>
      </c>
      <c r="H2" s="296" t="s">
        <v>487</v>
      </c>
      <c r="I2" s="297"/>
      <c r="J2" s="297"/>
      <c r="K2" s="297"/>
      <c r="L2" s="297"/>
      <c r="M2" s="297"/>
      <c r="N2" s="297"/>
      <c r="O2" s="297"/>
      <c r="P2" s="297"/>
    </row>
    <row r="3" spans="1:16" ht="30" customHeight="1" x14ac:dyDescent="0.25">
      <c r="A3" s="298" t="s">
        <v>73</v>
      </c>
      <c r="B3" s="299" t="s">
        <v>726</v>
      </c>
      <c r="C3" s="300"/>
      <c r="D3" s="300"/>
      <c r="E3" s="300"/>
      <c r="F3" s="298"/>
      <c r="G3" s="298"/>
      <c r="H3" s="298"/>
      <c r="I3" s="298"/>
      <c r="J3" s="298"/>
      <c r="K3" s="298"/>
      <c r="L3" s="298"/>
      <c r="M3" s="298"/>
      <c r="N3" s="298"/>
      <c r="O3" s="298"/>
      <c r="P3" s="298"/>
    </row>
    <row r="4" spans="1:16" ht="30" customHeight="1" x14ac:dyDescent="0.25">
      <c r="A4" s="301" t="s">
        <v>27</v>
      </c>
      <c r="B4" s="302" t="s">
        <v>688</v>
      </c>
      <c r="C4" s="301" t="s">
        <v>346</v>
      </c>
      <c r="D4" s="44" t="s">
        <v>482</v>
      </c>
      <c r="E4" s="44" t="str">
        <f>"'"&amp;C4&amp;"'!"&amp;"Ngay_CapNhat"</f>
        <v>'Tỷ giá'!Ngay_CapNhat</v>
      </c>
      <c r="F4" s="301"/>
      <c r="G4" s="301"/>
      <c r="H4" s="301"/>
      <c r="I4" s="301"/>
      <c r="J4" s="301"/>
      <c r="K4" s="301"/>
      <c r="L4" s="301"/>
      <c r="M4" s="301"/>
      <c r="N4" s="301"/>
      <c r="O4" s="301"/>
      <c r="P4" s="301"/>
    </row>
    <row r="5" spans="1:16" ht="30" customHeight="1" x14ac:dyDescent="0.25">
      <c r="A5" s="301" t="s">
        <v>31</v>
      </c>
      <c r="B5" s="302" t="s">
        <v>325</v>
      </c>
      <c r="C5" s="301" t="s">
        <v>346</v>
      </c>
      <c r="D5" s="44" t="s">
        <v>483</v>
      </c>
      <c r="E5" s="44"/>
      <c r="F5" s="301"/>
      <c r="G5" s="301"/>
      <c r="H5" s="301"/>
      <c r="I5" s="301"/>
      <c r="J5" s="301"/>
      <c r="K5" s="301"/>
      <c r="L5" s="301"/>
      <c r="M5" s="301"/>
      <c r="N5" s="301"/>
      <c r="O5" s="301"/>
      <c r="P5" s="301"/>
    </row>
    <row r="6" spans="1:16" ht="30" customHeight="1" x14ac:dyDescent="0.25">
      <c r="A6" s="301" t="s">
        <v>32</v>
      </c>
      <c r="B6" s="302" t="s">
        <v>472</v>
      </c>
      <c r="C6" s="301" t="s">
        <v>345</v>
      </c>
      <c r="D6" s="44" t="s">
        <v>485</v>
      </c>
      <c r="E6" s="44"/>
      <c r="F6" s="301"/>
      <c r="G6" s="301"/>
      <c r="H6" s="301"/>
      <c r="I6" s="301"/>
      <c r="J6" s="301"/>
      <c r="K6" s="301"/>
      <c r="L6" s="301"/>
      <c r="M6" s="301"/>
      <c r="N6" s="301"/>
      <c r="O6" s="301"/>
      <c r="P6" s="301"/>
    </row>
    <row r="7" spans="1:16" ht="30" customHeight="1" x14ac:dyDescent="0.25">
      <c r="A7" s="301" t="s">
        <v>40</v>
      </c>
      <c r="B7" s="302" t="s">
        <v>689</v>
      </c>
      <c r="C7" s="301" t="s">
        <v>283</v>
      </c>
      <c r="D7" s="44" t="s">
        <v>484</v>
      </c>
      <c r="E7" s="44"/>
      <c r="F7" s="301"/>
      <c r="G7" s="301" t="s">
        <v>480</v>
      </c>
      <c r="H7" s="301"/>
      <c r="I7" s="301"/>
      <c r="J7" s="301"/>
      <c r="K7" s="301"/>
      <c r="L7" s="301"/>
      <c r="M7" s="301"/>
      <c r="N7" s="301"/>
      <c r="O7" s="301"/>
      <c r="P7" s="301"/>
    </row>
    <row r="8" spans="1:16" ht="30" customHeight="1" x14ac:dyDescent="0.25">
      <c r="A8" s="301" t="s">
        <v>43</v>
      </c>
      <c r="B8" s="302" t="s">
        <v>326</v>
      </c>
      <c r="C8" s="301" t="s">
        <v>313</v>
      </c>
      <c r="D8" s="44" t="s">
        <v>486</v>
      </c>
      <c r="E8" s="44"/>
      <c r="F8" s="301"/>
      <c r="G8" s="301" t="s">
        <v>481</v>
      </c>
      <c r="H8" s="301"/>
      <c r="I8" s="301"/>
      <c r="J8" s="301"/>
      <c r="K8" s="301"/>
      <c r="L8" s="301"/>
      <c r="M8" s="301"/>
      <c r="N8" s="301"/>
      <c r="O8" s="301"/>
      <c r="P8" s="301"/>
    </row>
    <row r="9" spans="1:16" ht="30" customHeight="1" x14ac:dyDescent="0.25">
      <c r="A9" s="301" t="s">
        <v>54</v>
      </c>
      <c r="B9" s="302" t="s">
        <v>473</v>
      </c>
      <c r="C9" s="301" t="s">
        <v>345</v>
      </c>
      <c r="D9" s="44"/>
      <c r="E9" s="44"/>
      <c r="F9" s="301"/>
      <c r="G9" s="301"/>
      <c r="H9" s="301"/>
      <c r="I9" s="301"/>
      <c r="J9" s="301"/>
      <c r="K9" s="301"/>
      <c r="L9" s="301"/>
      <c r="M9" s="301"/>
      <c r="N9" s="301"/>
      <c r="O9" s="301"/>
      <c r="P9" s="301"/>
    </row>
    <row r="10" spans="1:16" ht="30" customHeight="1" x14ac:dyDescent="0.25">
      <c r="A10" s="303" t="s">
        <v>101</v>
      </c>
      <c r="B10" s="304" t="s">
        <v>725</v>
      </c>
      <c r="C10" s="305"/>
      <c r="D10" s="305"/>
      <c r="E10" s="305"/>
      <c r="F10" s="303"/>
      <c r="G10" s="303"/>
      <c r="H10" s="303"/>
      <c r="I10" s="303"/>
      <c r="J10" s="303"/>
      <c r="K10" s="303"/>
      <c r="L10" s="303"/>
      <c r="M10" s="303"/>
      <c r="N10" s="303"/>
      <c r="O10" s="303"/>
      <c r="P10" s="303"/>
    </row>
    <row r="11" spans="1:16" ht="30" customHeight="1" x14ac:dyDescent="0.25">
      <c r="A11" s="301" t="s">
        <v>27</v>
      </c>
      <c r="B11" s="302" t="s">
        <v>474</v>
      </c>
      <c r="C11" s="301" t="s">
        <v>300</v>
      </c>
      <c r="D11" s="44"/>
      <c r="E11" s="44"/>
      <c r="F11" s="301"/>
      <c r="G11" s="301"/>
      <c r="H11" s="301"/>
      <c r="I11" s="301"/>
      <c r="J11" s="301"/>
      <c r="K11" s="301"/>
      <c r="L11" s="301"/>
      <c r="M11" s="301"/>
      <c r="N11" s="301"/>
      <c r="O11" s="301"/>
      <c r="P11" s="301"/>
    </row>
    <row r="12" spans="1:16" ht="30" customHeight="1" x14ac:dyDescent="0.25">
      <c r="A12" s="301" t="s">
        <v>31</v>
      </c>
      <c r="B12" s="302" t="s">
        <v>489</v>
      </c>
      <c r="C12" s="301" t="s">
        <v>299</v>
      </c>
      <c r="D12" s="44"/>
      <c r="E12" s="44"/>
      <c r="F12" s="301"/>
      <c r="G12" s="301"/>
      <c r="H12" s="301"/>
      <c r="I12" s="301"/>
      <c r="J12" s="301"/>
      <c r="K12" s="301"/>
      <c r="L12" s="301"/>
      <c r="M12" s="301"/>
      <c r="N12" s="301"/>
      <c r="O12" s="301"/>
      <c r="P12" s="301"/>
    </row>
    <row r="13" spans="1:16" ht="30" customHeight="1" x14ac:dyDescent="0.25">
      <c r="A13" s="301" t="s">
        <v>32</v>
      </c>
      <c r="B13" s="302" t="s">
        <v>427</v>
      </c>
      <c r="C13" s="301" t="s">
        <v>300</v>
      </c>
      <c r="D13" s="44"/>
      <c r="E13" s="44"/>
      <c r="F13" s="301"/>
      <c r="G13" s="301"/>
      <c r="H13" s="301"/>
      <c r="I13" s="301"/>
      <c r="J13" s="301"/>
      <c r="K13" s="301"/>
      <c r="L13" s="301"/>
      <c r="M13" s="301"/>
      <c r="N13" s="301"/>
      <c r="O13" s="301"/>
      <c r="P13" s="301"/>
    </row>
    <row r="14" spans="1:16" ht="30" customHeight="1" x14ac:dyDescent="0.25">
      <c r="A14" s="301" t="s">
        <v>40</v>
      </c>
      <c r="B14" s="302" t="s">
        <v>428</v>
      </c>
      <c r="C14" s="301" t="s">
        <v>300</v>
      </c>
      <c r="D14" s="44"/>
      <c r="E14" s="44"/>
      <c r="F14" s="301"/>
      <c r="G14" s="301"/>
      <c r="H14" s="301"/>
      <c r="I14" s="301"/>
      <c r="J14" s="301"/>
      <c r="K14" s="301"/>
      <c r="L14" s="301"/>
      <c r="M14" s="301"/>
      <c r="N14" s="301"/>
      <c r="O14" s="301"/>
      <c r="P14" s="301"/>
    </row>
    <row r="15" spans="1:16" ht="30" customHeight="1" x14ac:dyDescent="0.25">
      <c r="A15" s="301" t="s">
        <v>43</v>
      </c>
      <c r="B15" s="302" t="s">
        <v>344</v>
      </c>
      <c r="C15" s="301" t="s">
        <v>301</v>
      </c>
      <c r="D15" s="44"/>
      <c r="E15" s="44"/>
      <c r="F15" s="301"/>
      <c r="G15" s="301"/>
      <c r="H15" s="301"/>
      <c r="I15" s="301"/>
      <c r="J15" s="301"/>
      <c r="K15" s="301"/>
      <c r="L15" s="301"/>
      <c r="M15" s="301"/>
      <c r="N15" s="301"/>
      <c r="O15" s="301"/>
      <c r="P15" s="301"/>
    </row>
    <row r="16" spans="1:16" ht="30" customHeight="1" x14ac:dyDescent="0.25">
      <c r="A16" s="301" t="s">
        <v>54</v>
      </c>
      <c r="B16" s="302"/>
      <c r="C16" s="301"/>
      <c r="D16" s="44"/>
      <c r="E16" s="44"/>
      <c r="F16" s="301"/>
      <c r="G16" s="301"/>
      <c r="H16" s="301"/>
      <c r="I16" s="301"/>
      <c r="J16" s="301"/>
      <c r="K16" s="301"/>
      <c r="L16" s="301"/>
      <c r="M16" s="301"/>
      <c r="N16" s="301"/>
      <c r="O16" s="301"/>
      <c r="P16" s="301"/>
    </row>
    <row r="17" spans="1:16" ht="30" customHeight="1" x14ac:dyDescent="0.25">
      <c r="A17" s="303" t="s">
        <v>102</v>
      </c>
      <c r="B17" s="304" t="s">
        <v>727</v>
      </c>
      <c r="C17" s="305"/>
      <c r="D17" s="305"/>
      <c r="E17" s="305"/>
      <c r="F17" s="303"/>
      <c r="G17" s="303"/>
      <c r="H17" s="303"/>
      <c r="I17" s="303"/>
      <c r="J17" s="303"/>
      <c r="K17" s="303"/>
      <c r="L17" s="303"/>
      <c r="M17" s="303"/>
      <c r="N17" s="303"/>
      <c r="O17" s="303"/>
      <c r="P17" s="303"/>
    </row>
    <row r="18" spans="1:16" ht="30" customHeight="1" x14ac:dyDescent="0.25">
      <c r="A18" s="301" t="s">
        <v>27</v>
      </c>
      <c r="B18" s="302" t="s">
        <v>408</v>
      </c>
      <c r="C18" s="301" t="s">
        <v>349</v>
      </c>
      <c r="D18" s="44"/>
      <c r="E18" s="44"/>
      <c r="F18" s="301"/>
      <c r="G18" s="301"/>
      <c r="H18" s="301"/>
      <c r="I18" s="301"/>
      <c r="J18" s="301"/>
      <c r="K18" s="301"/>
      <c r="L18" s="301"/>
      <c r="M18" s="301"/>
      <c r="N18" s="301"/>
      <c r="O18" s="301"/>
      <c r="P18" s="301"/>
    </row>
    <row r="19" spans="1:16" ht="30" customHeight="1" x14ac:dyDescent="0.25">
      <c r="A19" s="301" t="s">
        <v>31</v>
      </c>
      <c r="B19" s="302" t="s">
        <v>409</v>
      </c>
      <c r="C19" s="301" t="s">
        <v>350</v>
      </c>
      <c r="D19" s="44"/>
      <c r="E19" s="44"/>
      <c r="F19" s="301"/>
      <c r="G19" s="301"/>
      <c r="H19" s="301"/>
      <c r="I19" s="301"/>
      <c r="J19" s="301"/>
      <c r="K19" s="301"/>
      <c r="L19" s="301"/>
      <c r="M19" s="301"/>
      <c r="N19" s="301"/>
      <c r="O19" s="301"/>
      <c r="P19" s="301"/>
    </row>
    <row r="20" spans="1:16" ht="30" customHeight="1" x14ac:dyDescent="0.25">
      <c r="A20" s="301" t="s">
        <v>32</v>
      </c>
      <c r="B20" s="302" t="s">
        <v>410</v>
      </c>
      <c r="C20" s="301" t="s">
        <v>350</v>
      </c>
      <c r="D20" s="44"/>
      <c r="E20" s="44"/>
      <c r="F20" s="301"/>
      <c r="G20" s="301"/>
      <c r="H20" s="301"/>
      <c r="I20" s="301"/>
      <c r="J20" s="301"/>
      <c r="K20" s="301"/>
      <c r="L20" s="301"/>
      <c r="M20" s="301"/>
      <c r="N20" s="301"/>
      <c r="O20" s="301"/>
      <c r="P20" s="301"/>
    </row>
    <row r="21" spans="1:16" ht="30" customHeight="1" x14ac:dyDescent="0.25">
      <c r="A21" s="301" t="s">
        <v>40</v>
      </c>
      <c r="B21" s="302" t="s">
        <v>411</v>
      </c>
      <c r="C21" s="301" t="s">
        <v>352</v>
      </c>
      <c r="D21" s="44"/>
      <c r="E21" s="44"/>
      <c r="F21" s="301"/>
      <c r="G21" s="301"/>
      <c r="H21" s="301"/>
      <c r="I21" s="301"/>
      <c r="J21" s="301"/>
      <c r="K21" s="301"/>
      <c r="L21" s="301"/>
      <c r="M21" s="301"/>
      <c r="N21" s="301"/>
      <c r="O21" s="301"/>
      <c r="P21" s="301"/>
    </row>
    <row r="22" spans="1:16" ht="30" customHeight="1" x14ac:dyDescent="0.25">
      <c r="A22" s="301" t="s">
        <v>43</v>
      </c>
      <c r="B22" s="302" t="s">
        <v>412</v>
      </c>
      <c r="C22" s="301" t="s">
        <v>351</v>
      </c>
      <c r="D22" s="44"/>
      <c r="E22" s="44"/>
      <c r="F22" s="301"/>
      <c r="G22" s="301"/>
      <c r="H22" s="301"/>
      <c r="I22" s="301"/>
      <c r="J22" s="301"/>
      <c r="K22" s="301"/>
      <c r="L22" s="301"/>
      <c r="M22" s="301"/>
      <c r="N22" s="301"/>
      <c r="O22" s="301"/>
      <c r="P22" s="301"/>
    </row>
    <row r="23" spans="1:16" ht="30" customHeight="1" x14ac:dyDescent="0.25">
      <c r="A23" s="301" t="s">
        <v>54</v>
      </c>
      <c r="B23" s="302" t="s">
        <v>413</v>
      </c>
      <c r="C23" s="301" t="s">
        <v>45</v>
      </c>
      <c r="D23" s="44"/>
      <c r="E23" s="44"/>
      <c r="F23" s="301"/>
      <c r="G23" s="301"/>
      <c r="H23" s="301"/>
      <c r="I23" s="301"/>
      <c r="J23" s="301"/>
      <c r="K23" s="301"/>
      <c r="L23" s="301"/>
      <c r="M23" s="301"/>
      <c r="N23" s="301"/>
      <c r="O23" s="301"/>
      <c r="P23" s="301"/>
    </row>
    <row r="24" spans="1:16" ht="30" customHeight="1" x14ac:dyDescent="0.25">
      <c r="A24" s="303" t="s">
        <v>103</v>
      </c>
      <c r="B24" s="304" t="s">
        <v>728</v>
      </c>
      <c r="C24" s="305"/>
      <c r="D24" s="305"/>
      <c r="E24" s="305"/>
      <c r="F24" s="303"/>
      <c r="G24" s="303"/>
      <c r="H24" s="303"/>
      <c r="I24" s="303"/>
      <c r="J24" s="303"/>
      <c r="K24" s="303"/>
      <c r="L24" s="303"/>
      <c r="M24" s="303"/>
      <c r="N24" s="303"/>
      <c r="O24" s="303"/>
      <c r="P24" s="303"/>
    </row>
    <row r="25" spans="1:16" ht="30" customHeight="1" x14ac:dyDescent="0.25">
      <c r="A25" s="301" t="s">
        <v>27</v>
      </c>
      <c r="B25" s="302" t="s">
        <v>640</v>
      </c>
      <c r="C25" s="301" t="s">
        <v>509</v>
      </c>
      <c r="D25" s="44"/>
      <c r="E25" s="44"/>
      <c r="F25" s="301"/>
      <c r="G25" s="301"/>
      <c r="H25" s="301"/>
      <c r="I25" s="301"/>
      <c r="J25" s="301"/>
      <c r="K25" s="301"/>
      <c r="L25" s="301"/>
      <c r="M25" s="301"/>
      <c r="N25" s="301"/>
      <c r="O25" s="301"/>
      <c r="P25" s="301"/>
    </row>
    <row r="26" spans="1:16" ht="30" customHeight="1" x14ac:dyDescent="0.25">
      <c r="A26" s="301" t="s">
        <v>31</v>
      </c>
      <c r="B26" s="302" t="s">
        <v>639</v>
      </c>
      <c r="C26" s="301" t="s">
        <v>516</v>
      </c>
      <c r="D26" s="44"/>
      <c r="E26" s="44"/>
      <c r="F26" s="301"/>
      <c r="G26" s="301"/>
      <c r="H26" s="301"/>
      <c r="I26" s="301"/>
      <c r="J26" s="301"/>
      <c r="K26" s="301"/>
      <c r="L26" s="301"/>
      <c r="M26" s="301"/>
      <c r="N26" s="301"/>
      <c r="O26" s="301"/>
      <c r="P26" s="301"/>
    </row>
    <row r="27" spans="1:16" ht="30" customHeight="1" x14ac:dyDescent="0.25">
      <c r="A27" s="301" t="s">
        <v>32</v>
      </c>
      <c r="B27" s="302" t="s">
        <v>641</v>
      </c>
      <c r="C27" s="301" t="s">
        <v>636</v>
      </c>
      <c r="D27" s="44"/>
      <c r="E27" s="44"/>
      <c r="F27" s="301"/>
      <c r="G27" s="301"/>
      <c r="H27" s="301"/>
      <c r="I27" s="301"/>
      <c r="J27" s="301"/>
      <c r="K27" s="301"/>
      <c r="L27" s="301"/>
      <c r="M27" s="301"/>
      <c r="N27" s="301"/>
      <c r="O27" s="301"/>
      <c r="P27" s="301"/>
    </row>
    <row r="28" spans="1:16" ht="30" customHeight="1" x14ac:dyDescent="0.25">
      <c r="A28" s="301" t="s">
        <v>40</v>
      </c>
      <c r="B28" s="302" t="s">
        <v>642</v>
      </c>
      <c r="C28" s="301" t="s">
        <v>635</v>
      </c>
      <c r="D28" s="44"/>
      <c r="E28" s="44"/>
      <c r="F28" s="301"/>
      <c r="G28" s="301"/>
      <c r="H28" s="301"/>
      <c r="I28" s="301"/>
      <c r="J28" s="301"/>
      <c r="K28" s="301"/>
      <c r="L28" s="301"/>
      <c r="M28" s="301"/>
      <c r="N28" s="301"/>
      <c r="O28" s="301"/>
      <c r="P28" s="301"/>
    </row>
    <row r="29" spans="1:16" ht="30" customHeight="1" x14ac:dyDescent="0.25">
      <c r="A29" s="301" t="s">
        <v>43</v>
      </c>
      <c r="B29" s="302" t="s">
        <v>643</v>
      </c>
      <c r="C29" s="301" t="s">
        <v>637</v>
      </c>
      <c r="D29" s="44"/>
      <c r="E29" s="44"/>
      <c r="F29" s="301"/>
      <c r="G29" s="301"/>
      <c r="H29" s="301"/>
      <c r="I29" s="301"/>
      <c r="J29" s="301"/>
      <c r="K29" s="301"/>
      <c r="L29" s="301"/>
      <c r="M29" s="301"/>
      <c r="N29" s="301"/>
      <c r="O29" s="301"/>
      <c r="P29" s="301"/>
    </row>
    <row r="30" spans="1:16" ht="30" customHeight="1" x14ac:dyDescent="0.25">
      <c r="A30" s="301" t="s">
        <v>54</v>
      </c>
      <c r="B30" s="302" t="s">
        <v>716</v>
      </c>
      <c r="C30" s="301" t="s">
        <v>516</v>
      </c>
      <c r="D30" s="44"/>
      <c r="E30" s="44"/>
      <c r="F30" s="301"/>
      <c r="G30" s="301"/>
      <c r="H30" s="301"/>
      <c r="I30" s="301"/>
      <c r="J30" s="301"/>
      <c r="K30" s="301"/>
      <c r="L30" s="301"/>
      <c r="M30" s="301"/>
      <c r="N30" s="301"/>
      <c r="O30" s="301"/>
      <c r="P30" s="301"/>
    </row>
    <row r="31" spans="1:16" ht="30" customHeight="1" x14ac:dyDescent="0.25">
      <c r="A31" s="303" t="s">
        <v>104</v>
      </c>
      <c r="B31" s="304" t="s">
        <v>729</v>
      </c>
      <c r="C31" s="305"/>
      <c r="D31" s="305"/>
      <c r="E31" s="305"/>
      <c r="F31" s="303"/>
      <c r="G31" s="303"/>
      <c r="H31" s="303"/>
      <c r="I31" s="303"/>
      <c r="J31" s="303"/>
      <c r="K31" s="303"/>
      <c r="L31" s="303"/>
      <c r="M31" s="303"/>
      <c r="N31" s="303"/>
      <c r="O31" s="303"/>
      <c r="P31" s="303"/>
    </row>
    <row r="32" spans="1:16" ht="30" customHeight="1" x14ac:dyDescent="0.25">
      <c r="A32" s="301" t="s">
        <v>27</v>
      </c>
      <c r="B32" s="302" t="s">
        <v>628</v>
      </c>
      <c r="C32" s="301" t="s">
        <v>633</v>
      </c>
      <c r="D32" s="44"/>
      <c r="E32" s="44"/>
      <c r="F32" s="301"/>
      <c r="G32" s="301"/>
      <c r="H32" s="301"/>
      <c r="I32" s="301"/>
      <c r="J32" s="301"/>
      <c r="K32" s="301"/>
      <c r="L32" s="301"/>
      <c r="M32" s="301"/>
      <c r="N32" s="301"/>
      <c r="O32" s="301"/>
      <c r="P32" s="301"/>
    </row>
    <row r="33" spans="1:16" ht="30" customHeight="1" x14ac:dyDescent="0.25">
      <c r="A33" s="301" t="s">
        <v>31</v>
      </c>
      <c r="B33" s="302" t="s">
        <v>629</v>
      </c>
      <c r="C33" s="301" t="s">
        <v>633</v>
      </c>
      <c r="D33" s="44"/>
      <c r="E33" s="44"/>
      <c r="F33" s="301"/>
      <c r="G33" s="301"/>
      <c r="H33" s="301"/>
      <c r="I33" s="301"/>
      <c r="J33" s="301"/>
      <c r="K33" s="301"/>
      <c r="L33" s="301"/>
      <c r="M33" s="301"/>
      <c r="N33" s="301"/>
      <c r="O33" s="301"/>
      <c r="P33" s="301"/>
    </row>
    <row r="34" spans="1:16" ht="30" customHeight="1" x14ac:dyDescent="0.25">
      <c r="A34" s="301" t="s">
        <v>32</v>
      </c>
      <c r="B34" s="302" t="s">
        <v>630</v>
      </c>
      <c r="C34" s="301" t="s">
        <v>632</v>
      </c>
      <c r="D34" s="44"/>
      <c r="E34" s="44"/>
      <c r="F34" s="301"/>
      <c r="G34" s="301"/>
      <c r="H34" s="301"/>
      <c r="I34" s="301"/>
      <c r="J34" s="301"/>
      <c r="K34" s="301"/>
      <c r="L34" s="301"/>
      <c r="M34" s="301"/>
      <c r="N34" s="301"/>
      <c r="O34" s="301"/>
      <c r="P34" s="301"/>
    </row>
    <row r="35" spans="1:16" ht="30" customHeight="1" x14ac:dyDescent="0.25">
      <c r="A35" s="301" t="s">
        <v>40</v>
      </c>
      <c r="B35" s="302" t="s">
        <v>631</v>
      </c>
      <c r="C35" s="301" t="s">
        <v>632</v>
      </c>
      <c r="D35" s="44"/>
      <c r="E35" s="44"/>
      <c r="F35" s="301"/>
      <c r="G35" s="301"/>
      <c r="H35" s="301"/>
      <c r="I35" s="301"/>
      <c r="J35" s="301"/>
      <c r="K35" s="301"/>
      <c r="L35" s="301"/>
      <c r="M35" s="301"/>
      <c r="N35" s="301"/>
      <c r="O35" s="301"/>
      <c r="P35" s="301"/>
    </row>
    <row r="36" spans="1:16" ht="30" customHeight="1" x14ac:dyDescent="0.25">
      <c r="A36" s="301" t="s">
        <v>43</v>
      </c>
      <c r="B36" s="302" t="s">
        <v>634</v>
      </c>
      <c r="C36" s="301" t="s">
        <v>632</v>
      </c>
      <c r="D36" s="44"/>
      <c r="E36" s="44"/>
      <c r="F36" s="301"/>
      <c r="G36" s="301"/>
      <c r="H36" s="301"/>
      <c r="I36" s="301"/>
      <c r="J36" s="301"/>
      <c r="K36" s="301"/>
      <c r="L36" s="301"/>
      <c r="M36" s="301"/>
      <c r="N36" s="301"/>
      <c r="O36" s="301"/>
      <c r="P36" s="301"/>
    </row>
    <row r="37" spans="1:16" ht="30" customHeight="1" x14ac:dyDescent="0.25">
      <c r="A37" s="301" t="s">
        <v>54</v>
      </c>
      <c r="B37" s="302" t="s">
        <v>674</v>
      </c>
      <c r="C37" s="301" t="s">
        <v>633</v>
      </c>
      <c r="D37" s="44"/>
      <c r="E37" s="44"/>
      <c r="F37" s="301"/>
      <c r="G37" s="301"/>
      <c r="H37" s="301"/>
      <c r="I37" s="301"/>
      <c r="J37" s="301"/>
      <c r="K37" s="301"/>
      <c r="L37" s="301"/>
      <c r="M37" s="301"/>
      <c r="N37" s="301"/>
      <c r="O37" s="301"/>
      <c r="P37" s="301"/>
    </row>
    <row r="38" spans="1:16" ht="30" customHeight="1" x14ac:dyDescent="0.25">
      <c r="A38" s="303" t="s">
        <v>105</v>
      </c>
      <c r="B38" s="304" t="s">
        <v>169</v>
      </c>
      <c r="C38" s="305"/>
      <c r="D38" s="305"/>
      <c r="E38" s="305"/>
      <c r="F38" s="303"/>
      <c r="G38" s="303"/>
      <c r="H38" s="303"/>
      <c r="I38" s="303"/>
      <c r="J38" s="303"/>
      <c r="K38" s="303"/>
      <c r="L38" s="303"/>
      <c r="M38" s="303"/>
      <c r="N38" s="303"/>
      <c r="O38" s="303"/>
      <c r="P38" s="303"/>
    </row>
    <row r="39" spans="1:16" ht="30" customHeight="1" x14ac:dyDescent="0.25">
      <c r="A39" s="301" t="s">
        <v>27</v>
      </c>
      <c r="B39" s="302" t="s">
        <v>658</v>
      </c>
      <c r="C39" s="301" t="s">
        <v>546</v>
      </c>
      <c r="D39" s="44"/>
      <c r="E39" s="44"/>
      <c r="F39" s="301"/>
      <c r="G39" s="301"/>
      <c r="H39" s="301"/>
      <c r="I39" s="301"/>
      <c r="J39" s="301"/>
      <c r="K39" s="301"/>
      <c r="L39" s="301"/>
      <c r="M39" s="301"/>
      <c r="N39" s="301"/>
      <c r="O39" s="301"/>
      <c r="P39" s="301"/>
    </row>
    <row r="40" spans="1:16" ht="30" customHeight="1" x14ac:dyDescent="0.25">
      <c r="A40" s="301" t="s">
        <v>31</v>
      </c>
      <c r="B40" s="302" t="s">
        <v>659</v>
      </c>
      <c r="C40" s="301" t="s">
        <v>546</v>
      </c>
      <c r="D40" s="44"/>
      <c r="E40" s="44"/>
      <c r="F40" s="301"/>
      <c r="G40" s="301"/>
      <c r="H40" s="301"/>
      <c r="I40" s="301"/>
      <c r="J40" s="301"/>
      <c r="K40" s="301"/>
      <c r="L40" s="301"/>
      <c r="M40" s="301"/>
      <c r="N40" s="301"/>
      <c r="O40" s="301"/>
      <c r="P40" s="301"/>
    </row>
    <row r="41" spans="1:16" ht="30" customHeight="1" x14ac:dyDescent="0.25">
      <c r="A41" s="301" t="s">
        <v>32</v>
      </c>
      <c r="B41" s="302" t="s">
        <v>644</v>
      </c>
      <c r="C41" s="301" t="s">
        <v>546</v>
      </c>
      <c r="D41" s="44"/>
      <c r="E41" s="44"/>
      <c r="F41" s="301"/>
      <c r="G41" s="301"/>
      <c r="H41" s="301"/>
      <c r="I41" s="301"/>
      <c r="J41" s="301"/>
      <c r="K41" s="301"/>
      <c r="L41" s="301"/>
      <c r="M41" s="301"/>
      <c r="N41" s="301"/>
      <c r="O41" s="301"/>
      <c r="P41" s="301"/>
    </row>
    <row r="42" spans="1:16" ht="30" customHeight="1" x14ac:dyDescent="0.25">
      <c r="A42" s="301" t="s">
        <v>40</v>
      </c>
      <c r="B42" s="302" t="s">
        <v>660</v>
      </c>
      <c r="C42" s="301" t="s">
        <v>546</v>
      </c>
      <c r="D42" s="44"/>
      <c r="E42" s="44"/>
      <c r="F42" s="301"/>
      <c r="G42" s="301"/>
      <c r="H42" s="301"/>
      <c r="I42" s="301"/>
      <c r="J42" s="301"/>
      <c r="K42" s="301"/>
      <c r="L42" s="301"/>
      <c r="M42" s="301"/>
      <c r="N42" s="301"/>
      <c r="O42" s="301"/>
      <c r="P42" s="301"/>
    </row>
    <row r="43" spans="1:16" ht="30" customHeight="1" x14ac:dyDescent="0.25">
      <c r="A43" s="301" t="s">
        <v>43</v>
      </c>
      <c r="B43" s="302" t="s">
        <v>661</v>
      </c>
      <c r="C43" s="301" t="s">
        <v>638</v>
      </c>
      <c r="D43" s="44"/>
      <c r="E43" s="44"/>
      <c r="F43" s="301"/>
      <c r="G43" s="301"/>
      <c r="H43" s="301"/>
      <c r="I43" s="301"/>
      <c r="J43" s="301"/>
      <c r="K43" s="301"/>
      <c r="L43" s="301"/>
      <c r="M43" s="301"/>
      <c r="N43" s="301"/>
      <c r="O43" s="301"/>
      <c r="P43" s="301"/>
    </row>
    <row r="44" spans="1:16" ht="30" customHeight="1" x14ac:dyDescent="0.25">
      <c r="A44" s="301" t="s">
        <v>54</v>
      </c>
      <c r="B44" s="302"/>
      <c r="C44" s="301"/>
      <c r="D44" s="44"/>
      <c r="E44" s="44"/>
      <c r="F44" s="301"/>
      <c r="G44" s="301"/>
      <c r="H44" s="301"/>
      <c r="I44" s="301"/>
      <c r="J44" s="301"/>
      <c r="K44" s="301"/>
      <c r="L44" s="301"/>
      <c r="M44" s="301"/>
      <c r="N44" s="301"/>
      <c r="O44" s="301"/>
      <c r="P44" s="301"/>
    </row>
    <row r="45" spans="1:16" x14ac:dyDescent="0.25">
      <c r="A45" s="306"/>
      <c r="B45" s="306"/>
      <c r="C45" s="307"/>
      <c r="D45" s="307"/>
      <c r="E45" s="307"/>
      <c r="F45" s="306"/>
      <c r="G45" s="306"/>
      <c r="H45" s="306"/>
      <c r="I45" s="306"/>
      <c r="J45" s="306"/>
      <c r="K45" s="306"/>
      <c r="L45" s="306"/>
      <c r="M45" s="306"/>
      <c r="N45" s="306"/>
      <c r="O45" s="306"/>
      <c r="P45" s="306"/>
    </row>
    <row r="46" spans="1:16" x14ac:dyDescent="0.25">
      <c r="A46" s="308"/>
      <c r="B46" s="308"/>
      <c r="C46" s="309"/>
      <c r="D46" s="309"/>
      <c r="E46" s="309"/>
      <c r="F46" s="308"/>
      <c r="G46" s="308"/>
      <c r="H46" s="308"/>
      <c r="I46" s="308"/>
      <c r="J46" s="308"/>
      <c r="K46" s="308"/>
      <c r="L46" s="308"/>
      <c r="M46" s="308"/>
      <c r="N46" s="308"/>
      <c r="O46" s="308"/>
      <c r="P46" s="308"/>
    </row>
  </sheetData>
  <phoneticPr fontId="22"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8D40FE2-9C1A-46FC-BE9B-A39992E8ED97}">
          <x14:formula1>
            <xm:f>Setting!$R$2:$R$23</xm:f>
          </x14:formula1>
          <xm:sqref>C4:C9 C11:C16 C18:C23 C25:C30 C39:C44 C32:C37</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FA1CBC5-B389-4454-88E2-FBD3447ADD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Start</vt:lpstr>
      <vt:lpstr>'Tháng 3'!Ngay_CapNhat</vt:lpstr>
      <vt:lpstr>'Chấm điểm'!Print_Area</vt:lpstr>
      <vt:lpstr>Thue_Suat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duongAQ</dc:creator>
  <cp:lastModifiedBy>Dương Mạnh Quân</cp:lastModifiedBy>
  <cp:lastPrinted>2025-10-10T01:18:26Z</cp:lastPrinted>
  <dcterms:created xsi:type="dcterms:W3CDTF">2021-11-15T02:03:42Z</dcterms:created>
  <dcterms:modified xsi:type="dcterms:W3CDTF">2025-11-27T09:09:04Z</dcterms:modified>
</cp:coreProperties>
</file>